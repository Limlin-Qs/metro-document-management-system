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mc:AlternateContent xmlns:mc="http://schemas.openxmlformats.org/markup-compatibility/2006">
    <mc:Choice Requires="x15">
      <x15ac:absPath xmlns:x15ac="http://schemas.microsoft.com/office/spreadsheetml/2010/11/ac" url="E:\6 自动化中心-生产技术部\10 创新工作\3 科技创新项目_入库\2026年第一季度\打分记录\"/>
    </mc:Choice>
  </mc:AlternateContent>
  <xr:revisionPtr revIDLastSave="0" documentId="13_ncr:1_{AFBA181F-3125-4A73-8252-63ECF4E6CA26}" xr6:coauthVersionLast="47" xr6:coauthVersionMax="47" xr10:uidLastSave="{00000000-0000-0000-0000-000000000000}"/>
  <bookViews>
    <workbookView xWindow="-108" yWindow="-108" windowWidth="23256" windowHeight="12456" activeTab="3" xr2:uid="{00000000-000D-0000-FFFF-FFFF00000000}"/>
  </bookViews>
  <sheets>
    <sheet name="排名（9个生产部门打分）" sheetId="8" r:id="rId1"/>
    <sheet name="评分标准" sheetId="5" r:id="rId2"/>
    <sheet name="排名aveg" sheetId="6" r:id="rId3"/>
    <sheet name="均分计算" sheetId="7" r:id="rId4"/>
  </sheets>
  <definedNames>
    <definedName name="_xlnm._FilterDatabase" localSheetId="0" hidden="1">'排名（9个生产部门打分）'!$A$5:$XFB$68</definedName>
    <definedName name="_xlnm._FilterDatabase" localSheetId="2" hidden="1">排名aveg!$A$5:$XFB$68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N7" i="7" l="1"/>
  <c r="N8" i="7"/>
  <c r="N9" i="7"/>
  <c r="N10" i="7"/>
  <c r="N11" i="7"/>
  <c r="N12" i="7"/>
  <c r="N13" i="7"/>
  <c r="N14"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 i="7"/>
  <c r="M6" i="7"/>
  <c r="M7" i="7"/>
  <c r="M8" i="7"/>
  <c r="M9" i="7"/>
  <c r="M10" i="7"/>
  <c r="M11" i="7"/>
  <c r="M12" i="7"/>
  <c r="M13" i="7"/>
  <c r="M14" i="7"/>
  <c r="M15" i="7"/>
  <c r="M16" i="7"/>
  <c r="M17" i="7"/>
  <c r="M18" i="7"/>
  <c r="M19" i="7"/>
  <c r="M20" i="7"/>
  <c r="M21" i="7"/>
  <c r="M22" i="7"/>
  <c r="M23" i="7"/>
  <c r="M24" i="7"/>
  <c r="M25" i="7"/>
  <c r="M26" i="7"/>
  <c r="M27" i="7"/>
  <c r="M28" i="7"/>
  <c r="M29" i="7"/>
  <c r="M30" i="7"/>
  <c r="M31" i="7"/>
  <c r="M32" i="7"/>
  <c r="M33" i="7"/>
  <c r="M34" i="7"/>
  <c r="M35" i="7"/>
  <c r="M36" i="7"/>
  <c r="M37" i="7"/>
  <c r="M38" i="7"/>
  <c r="M39" i="7"/>
  <c r="M40" i="7"/>
  <c r="M41" i="7"/>
  <c r="M42" i="7"/>
  <c r="M43" i="7"/>
  <c r="M44" i="7"/>
  <c r="M45" i="7"/>
  <c r="M46" i="7"/>
  <c r="M47" i="7"/>
  <c r="M48" i="7"/>
  <c r="M49" i="7"/>
  <c r="M50" i="7"/>
  <c r="M51" i="7"/>
  <c r="M52" i="7"/>
  <c r="M53" i="7"/>
  <c r="M54" i="7"/>
  <c r="M55" i="7"/>
  <c r="M56" i="7"/>
  <c r="M57" i="7"/>
  <c r="M58" i="7"/>
  <c r="M59" i="7"/>
  <c r="M60" i="7"/>
  <c r="M61" i="7"/>
  <c r="M62" i="7"/>
  <c r="M63" i="7"/>
  <c r="M64" i="7"/>
  <c r="M65" i="7"/>
  <c r="M66" i="7"/>
  <c r="M67" i="7"/>
  <c r="M68" i="7"/>
</calcChain>
</file>

<file path=xl/sharedStrings.xml><?xml version="1.0" encoding="utf-8"?>
<sst xmlns="http://schemas.openxmlformats.org/spreadsheetml/2006/main" count="1842" uniqueCount="717">
  <si>
    <t>自动化中心科技类创新项目评选打分表</t>
  </si>
  <si>
    <t>序号</t>
  </si>
  <si>
    <t>项目名称</t>
  </si>
  <si>
    <t>目前工作开展情况</t>
  </si>
  <si>
    <t>计划解决的问题或需求</t>
  </si>
  <si>
    <t>项目具体内容</t>
  </si>
  <si>
    <t>创新点</t>
  </si>
  <si>
    <t>计划年内进度（请填写2026年底拟完成情况）</t>
  </si>
  <si>
    <t>项目预算金额</t>
  </si>
  <si>
    <t>验收标准
/完成依据</t>
  </si>
  <si>
    <t>项目预期效益</t>
  </si>
  <si>
    <t>预期完成日期</t>
  </si>
  <si>
    <t>集团内部单位及参与度</t>
  </si>
  <si>
    <t>外部合作单位及参与度</t>
  </si>
  <si>
    <t>核心技术群</t>
  </si>
  <si>
    <t>所属部门</t>
  </si>
  <si>
    <t>评分</t>
  </si>
  <si>
    <t>（万元）</t>
  </si>
  <si>
    <t>经济效益（万元）</t>
  </si>
  <si>
    <t>社会、生态等效益</t>
  </si>
  <si>
    <t>基于智能视觉识别技术的红蓝网故障检测平台</t>
  </si>
  <si>
    <t>1.已完成专项调研，明确智能化改造条件；
2.完成V1.0版本开发，实现故障自动识别与双方式预警；
3.受系统权限限制暂未实测，正对接厂家推进USB 权限开放。</t>
  </si>
  <si>
    <t>1.解决人工核查效率低、易漏检问题；
2.解决运营前检查时间不足、报警漏看问题；
3.提升红蓝网监测精准度与故障响应速度；
4.优化设备检查流程，释放人力提升早高峰运营保障能力。</t>
  </si>
  <si>
    <t>1.采用“屏幕截图 + 图像识别 + 逻辑判断”技术，开发智能监测小程序；
2.实现实时监测、故障识别、多形式预警、数据统计等功能；
3.支持窗口/区域选择、位置校准，适配现场运维需求，三栏布局操作便捷。</t>
  </si>
  <si>
    <t>1.图像识别技术赋能，替代人工实现自动化监测；
2.声音 + 弹窗双预警，提升故障发现及时性；
3.15秒自动检测，数据可追溯，兼顾效率与分析需求；
4.自定义适配 + 后台运行，贴合现场实际运维场景。</t>
  </si>
  <si>
    <t>1.完成厂家对接，开放USB外设管理权限；
2.开展现场实测，完成功能优化与问题整改；
3.实现小程序在1号线NMS网管工作站正式上线；
4.梳理改造经验，为后续线路推广做准备。</t>
  </si>
  <si>
    <t>1.功能达标：小程序可稳定实现 15秒自动检测，故障识别精准率 100%，预警响应无延迟；
2.落地可用：成功适配现场设备，实现后台稳定运行，班组人员可熟练操作使用；
3.效果达标：运营前核查耗时较人工缩减50% 以上，无漏检、误报情况；
4.资料完备：形成完整的使用手册、测试报告、运维台账等资料文件</t>
  </si>
  <si>
    <t>1.节约人力成本，提升人力利用效率；2.降低设备故障引发的运营延误损失；3.经验可复制，降低同类系统改造成本。</t>
  </si>
  <si>
    <t>1.提升1号线运营保障与行车安全；
2.减少运营延误，优化市民出行体验；
3.为轨道交通运维智能化提供实践参考。</t>
  </si>
  <si>
    <t>自动化中心100%</t>
  </si>
  <si>
    <t>无</t>
  </si>
  <si>
    <t>智慧综合技术</t>
  </si>
  <si>
    <t>生产技术部1</t>
  </si>
  <si>
    <t>站台门端门盖板加装安全回路指示灯改造项目</t>
  </si>
  <si>
    <t>推进中</t>
  </si>
  <si>
    <t>原站台门故障处置时需安排专人在小站台，观察PSL全闭锁指示灯情况，以确保维修过程不影响正常行车，加装后则无需安排专人，可有效提升故障处置效率及人员利用率，同时站务人员也可直接在站台观察安全回路信号情况，提升行车运作效率。</t>
  </si>
  <si>
    <r>
      <rPr>
        <sz val="11"/>
        <rFont val="等线"/>
        <charset val="134"/>
      </rPr>
      <t>开展本科技创新项目计划在线网开展安全回路指示灯加装改造，提升故障处理及日常行车运作效率。
1.</t>
    </r>
    <r>
      <rPr>
        <b/>
        <sz val="11"/>
        <rFont val="等线"/>
        <charset val="134"/>
      </rPr>
      <t>地下站</t>
    </r>
    <r>
      <rPr>
        <sz val="11"/>
        <rFont val="等线"/>
        <charset val="134"/>
      </rPr>
      <t>：在原PSL盒内全闭锁指示灯进行并联引线，线束经过立柱与顶箱盖板夹层处，在端门上部顶箱盖板处打孔，将外接安全回路指示灯固定至端门顶箱盖板打孔处；
2</t>
    </r>
    <r>
      <rPr>
        <b/>
        <sz val="11"/>
        <rFont val="等线"/>
        <charset val="134"/>
      </rPr>
      <t>.蓝谷快线高架站改造方案：</t>
    </r>
    <r>
      <rPr>
        <sz val="11"/>
        <rFont val="等线"/>
        <charset val="134"/>
      </rPr>
      <t>在原PSL盒内安全回路灯进行并联引线，线束顺着端门门框顺延至端门不锈钢处，将外接安全回路指示灯固定至端门不锈钢侧板打孔处。
3.</t>
    </r>
    <r>
      <rPr>
        <b/>
        <sz val="11"/>
        <rFont val="等线"/>
        <charset val="134"/>
      </rPr>
      <t>西海岸快线高架站台门方案：</t>
    </r>
    <r>
      <rPr>
        <sz val="11"/>
        <rFont val="等线"/>
        <charset val="134"/>
      </rPr>
      <t>在原PSL盒内全闭锁指示灯进行并联引线，线束顺着端门门框顺延至端门上部门梁中部，在此位置采用“固定外壳支架+指示灯”的形式</t>
    </r>
  </si>
  <si>
    <r>
      <rPr>
        <b/>
        <sz val="11"/>
        <rFont val="等线"/>
        <charset val="134"/>
      </rPr>
      <t xml:space="preserve">因地制宜差异化设计
</t>
    </r>
    <r>
      <rPr>
        <sz val="11"/>
        <rFont val="等线"/>
        <charset val="134"/>
      </rPr>
      <t>根据地下站、蓝谷快线高架站、西海岸快线高架站不同站型结构，分别制定立柱顶箱夹层布线、门框顺延至不锈钢侧板、门框顺延至上部门梁中部三种适配方案，施工布局更贴合现场结构条件。</t>
    </r>
    <r>
      <rPr>
        <b/>
        <sz val="11"/>
        <rFont val="等线"/>
        <charset val="134"/>
      </rPr>
      <t xml:space="preserve">
布线隐蔽且安全规范
</t>
    </r>
    <r>
      <rPr>
        <sz val="11"/>
        <rFont val="等线"/>
        <charset val="134"/>
      </rPr>
      <t>线束均采用隐蔽式敷设（夹层、门框顺延），不破坏主体结构外观，同时避免外露磨损，提升线路安全性与站台整体美观度。</t>
    </r>
    <r>
      <rPr>
        <b/>
        <sz val="11"/>
        <rFont val="等线"/>
        <charset val="134"/>
      </rPr>
      <t xml:space="preserve">
安装形式灵活优化
</t>
    </r>
    <r>
      <rPr>
        <sz val="11"/>
        <rFont val="等线"/>
        <charset val="134"/>
      </rPr>
      <t>地下站直接固定于打孔盖板；蓝谷快线高架站固定于不锈钢侧板；西海岸快线高架站创新采用固定外壳支架 + 指示灯组合形式，安装更稳固、检修更便捷。</t>
    </r>
    <r>
      <rPr>
        <b/>
        <sz val="11"/>
        <rFont val="等线"/>
        <charset val="134"/>
      </rPr>
      <t xml:space="preserve">
原位并联不改动主回路
</t>
    </r>
    <r>
      <rPr>
        <sz val="11"/>
        <rFont val="等线"/>
        <charset val="134"/>
      </rPr>
      <t>均在原 PSL 盒内对应指示灯并联引线，无需改动原有安全回路与控制逻辑，施工风险低、对运营影响小，改造高效可靠。</t>
    </r>
  </si>
  <si>
    <t>2026年12月完成设备采购</t>
  </si>
  <si>
    <t>1.现场手动断开、闭合安全回路，观察外接安全回路指示灯是否能够同步反馈实时状态（误差应小于0.3S）。
2.与车站人员现场共同确认指示灯位置及亮度满足现场使用需求。
3.开启、关闭顶箱盖板及PSL面板，可正常开关，无干涉、拉扯线缆的现象。</t>
  </si>
  <si>
    <r>
      <rPr>
        <b/>
        <sz val="11"/>
        <rFont val="等线"/>
        <charset val="134"/>
      </rPr>
      <t>直接节约人力成本：</t>
    </r>
    <r>
      <rPr>
        <sz val="11"/>
        <rFont val="等线"/>
        <charset val="134"/>
      </rPr>
      <t xml:space="preserve">改造前故障处置需 1 名站务人员专人值守，按单线路年故障 120 次、50 元 / 小时工时成本测算，单线路年节约人工成本约 6000 元，多线路改造可累计节省数万元，释放人力用于核心客运服务。
</t>
    </r>
    <r>
      <rPr>
        <b/>
        <sz val="11"/>
        <rFont val="等线"/>
        <charset val="134"/>
      </rPr>
      <t>减少运营延误损失</t>
    </r>
    <r>
      <rPr>
        <sz val="11"/>
        <rFont val="等线"/>
        <charset val="134"/>
      </rPr>
      <t xml:space="preserve">：站务人员可直接在站台观察状态，故障处置效率提升 30%，减少列车晚点，按年减少 10 次晚点、单次损失 2000 元测算，年挽回运营损失约 2 万元。
降低采购与运维成本：指示灯型号统一、批量采购可享议价优惠，免焊接插头、预绝缘端子等设计提升施工效率，减少施工人工投入；设备防水耐用，后期维修更换成本降低 60%，年节约运维费用约 5000 元。
</t>
    </r>
    <r>
      <rPr>
        <b/>
        <sz val="11"/>
        <rFont val="等线"/>
        <charset val="134"/>
      </rPr>
      <t>规避潜在安全损失</t>
    </r>
    <r>
      <rPr>
        <sz val="11"/>
        <rFont val="等线"/>
        <charset val="134"/>
      </rPr>
      <t>：取消小站台值守，规避人员安全风险，避免安全事故带来的高额赔偿与处罚，同时减少服务质量考核罚款，年可节约相关费用数千元。</t>
    </r>
  </si>
  <si>
    <r>
      <rPr>
        <b/>
        <sz val="11"/>
        <rFont val="等线"/>
        <charset val="134"/>
      </rPr>
      <t>优化人力资源配置</t>
    </r>
    <r>
      <rPr>
        <sz val="11"/>
        <rFont val="等线"/>
        <charset val="134"/>
      </rPr>
      <t xml:space="preserve">
</t>
    </r>
    <r>
      <rPr>
        <b/>
        <sz val="11"/>
        <rFont val="等线"/>
        <charset val="134"/>
      </rPr>
      <t>全线网推广此创新，</t>
    </r>
    <r>
      <rPr>
        <sz val="11"/>
        <rFont val="等线"/>
        <charset val="134"/>
      </rPr>
      <t xml:space="preserve">可节约故障处置时专人值守观察指示灯的岗位，释放人力用于其他关键作业，显著提高人员利用率与故障处置响应速度。
</t>
    </r>
    <r>
      <rPr>
        <b/>
        <sz val="11"/>
        <rFont val="等线"/>
        <charset val="134"/>
      </rPr>
      <t>保障行车组织高效顺畅</t>
    </r>
    <r>
      <rPr>
        <sz val="11"/>
        <rFont val="等线"/>
        <charset val="134"/>
      </rPr>
      <t xml:space="preserve">
站务人员可在站台直接观察安全回路状态，减少信息传递环节，缩短处置周期，降低对正常行车运营的干扰，提升整体行车运作效率。
</t>
    </r>
    <r>
      <rPr>
        <b/>
        <sz val="11"/>
        <rFont val="等线"/>
        <charset val="134"/>
      </rPr>
      <t>降低现场作业安全风险</t>
    </r>
    <r>
      <rPr>
        <sz val="11"/>
        <rFont val="等线"/>
        <charset val="134"/>
      </rPr>
      <t xml:space="preserve">
减少人员在小站台值守频次，规避人员密集、空间受限等场景下的安全隐患，提升运维作业安全性。
</t>
    </r>
    <r>
      <rPr>
        <b/>
        <sz val="11"/>
        <rFont val="等线"/>
        <charset val="134"/>
      </rPr>
      <t>切实赋能一线</t>
    </r>
    <r>
      <rPr>
        <sz val="11"/>
        <rFont val="等线"/>
        <charset val="134"/>
      </rPr>
      <t xml:space="preserve">
改造方案经站务、弱电专业人员调研论证，具备充分必要性，实用性强，有利于提升一线运维工作满意度与规范化水平。</t>
    </r>
    <r>
      <rPr>
        <b/>
        <sz val="11"/>
        <rFont val="等线"/>
        <charset val="134"/>
      </rPr>
      <t xml:space="preserve">
提升地铁运营服务品质</t>
    </r>
    <r>
      <rPr>
        <sz val="11"/>
        <rFont val="等线"/>
        <charset val="134"/>
      </rPr>
      <t xml:space="preserve">
通过高效、安全的设备故障处置，保障运营稳定可靠，间接提升乘客出行体验与公共交通服务质量。</t>
    </r>
  </si>
  <si>
    <t>安全应急技术
自主化替代技术
设备设施融合提升技术</t>
  </si>
  <si>
    <t>生产技术部2</t>
  </si>
  <si>
    <t>基于低代码开发平台的“草根AI”智能体展示交流平台</t>
  </si>
  <si>
    <t>已完成功能需求设计，进入研发阶段</t>
  </si>
  <si>
    <t>针对基层 AI 成果分散难展示、赛事组织效率低、创新资产难复用、成果价值难兑现的问题，系统对内满足员工 “展成果、评奖项、促协作、兑价值” 的需求，对外满足组织 “管赛事、沉淀资产、推动创新落地” 的需求。
1、员工层面：解决基层 AI 成果 “展示难、评审难、协作难、落地难” 问题，让创新成果被看见、被认可、被转化。
2、赛事层面：实现 “草根 AI 创作者大会” 等活动的数字化、自动化管理，提升赛事组织效率与公平性。
3、组织层面：构建自动化中心 AI 创新资产库，打通 “创意 - 成果 - 落地” 闭环，为中心数字化转型提供支撑。</t>
  </si>
  <si>
    <t>基于自动化中心基层员工 AI 创新成果零散化管理现状，现有成果展示多依赖人工收集、线下评审、分散分享的模式，但在成果集中展示、赛事高效运营、创新价值转化、资产沉淀复用等方面仍有很大提升空间。草根 AI 创新成果展示系统建设要在既有活动组织及经验基础上进一步完善，同时考虑到系统建设面临多类型成果兼容适配、内网权限对接、评审流程标准化、与业务需求精准匹配等难点，因此进行草根 AI 创新成果展示系统核心模块设计，系统梳理形成成果管理、赛事管理、协作交流、价值转化四大核心模块功能方案，以更好地推动基层 AI 创新工作开展，最终实现系统更好用、更实用，激活中心全员创新活力。</t>
  </si>
  <si>
    <t>1.  场景化成果分类创新：紧扣地铁运维业务，设置“信号运维智能体”“车站设备巡检工具”“能耗监测模型”等专属分类标签，突破通用成果展示平台的同质化分类模式，实现成果与业务场景精准匹配。
2.  赛事-成果-落地一体化创新：将“草根AI创作者大会”“十佳智能体”竞赛全流程嵌入系统，从在线报名、成果提报、专家评审，到获奖成果对接业务需求、纳入创新资产库，构建“赛事促创作、成果促落地”的闭环机制，解决赛事与成果转化脱节的问题。
3.  轻量化低门槛提报创新：设计适配基层非技术人员的成果提报模板，支持一键上传演示视频、试用链接，自动生成成果简介初稿，同时提供版本迭代记录功能，突破传统平台提报流程繁琐、技术门槛高的局限。
4.  创新资产复用机制创新：建立成果复用标注体系，对可复用的AI模型、智能体组件标注“适用场景”“调用接口”“适配系统”等信息，接入自动化中心内网资源库，实现创新成果的二次开发与跨班组共享，避免重复开发。
5.  需求-成果智能匹配创新：开设业务需求专区，支持各部门发布运维痛点需求，系统通过标签匹配算法，自动推荐符合需求的基层创新成果，搭建一线创作与业务需求的对接桥梁，解决“创新与应用两张皮”的问题。
6.  多维度价值量化创新：设计创新成果价值评估指标，涵盖“降本增效数据”“业务适配度”“用户评价”“复用次数”等维度，自动生成成果价值评分，为评优、资源倾斜提供数据支撑，突破传统成果评价依赖主观判断的局限。</t>
  </si>
  <si>
    <t>完成</t>
  </si>
  <si>
    <t>1、核心功能验收：成果提报、分类展示、检索查询功能运行稳定，数据统计精准无误，可彻底解决成果分散存储、难以归集的管理痛点。
2、实操适配验收：操作流程简化易懂，非技术岗位员工可独立完成成果上传、信息维护，满足日常成果管理的使用需求。
3、管理效能验收：成果归档效率较传统人工模式提升超 50%，实现成果集中存储与快速检索，全程无数据丢失、页面异常等问题，保障管理工作顺畅开展。
4、配套资料验收：提交完整的系统使用手册、功能测试报告、运维操作说明，可支撑后续成果管理工作的长效运行与功能迭代。</t>
  </si>
  <si>
    <t>系统年度可实现赛事组织人力成本节约 0.8 万元、避免小额重复开发成本 1.2 万元、成果落地增效约 0.5 万元，合计预期经济效益2.5 万元。</t>
  </si>
  <si>
    <t>1、社会效益：系统激活基层创作者的创新潜力，营造 “人人可创新” 的浓厚氛围，培养地铁运维领域本土化 AI 应用人才。通过推动智能巡检、故障预警等成果落地，提升地铁运营智能化水平，间接保障市民出行安全与效率，为城市公共交通服务提质增效。
2、生态效益：系统构建自动化中心 AI 创新成果复用生态，集中管理与共享创新资产，减少重复开发造成的人力、算力资源浪费，实现技术资源高效配置。同时搭建跨班组协作平台，形成 “创作 - 反馈 - 迭代 - 落地” 的闭环创新链路，为行业基层 AI 创新发展提供可复制的实践范本。</t>
  </si>
  <si>
    <t>生产技术部3</t>
  </si>
  <si>
    <t>线网800M信号覆盖优化改造</t>
  </si>
  <si>
    <t>为保障线网内关键运营区域生产运作及应急联动效率，线网内部署专用无线系统设备，并为各专业配置专用无线800M手持台等终端，用于实现即时通讯，但在实际使用中800M无线信号覆盖存在以下问题：
一是屏蔽遮挡：因房间门、墙体等建筑结构屏蔽导致信号衰减严重，涉及张村站负一楼接触轨值班室，胶州北站换乘室、值班室、上下行站台卫生间侧通道，红岛火车站判图室，兴国路站上行头司机待乘室。
二是设计未覆盖：因线路建设期，未进行设计覆盖的点位，涉及中山路站、天目山站、太平角公园站、江西路站、错埠岭站、华山站、星海滩路站、观象山（市立医院）、苗岭站、石老人浴场站车站出入口平台。</t>
  </si>
  <si>
    <t>针对问题点位，主要采取三种优化方式：一是新增直放站；二是新增无线天线；三是配置可移动式800M定制固定台（800M无线中继设备）。
其中，8号线青岛北站站后折返区段，采用新增直放站方案完成整改；华山站、星海滩路站、观象山（市立医院）站3处出入口平台，张村站负一楼接触轨值班室，兴国路站上行头司机待乘室，胶州北站换乘室、值班室、上下行站台卫生间侧通道和红岛火车站判图室采用新增无线天线的方案完成整改；中山路站、天目山站、太平角公园站、江西路站、错埠岭站、苗岭站、石老人浴场站出入口平台，按照需求采用配置可移动式800M定制固定台（800M无线中继设备）的方案完成整改。</t>
  </si>
  <si>
    <t>为解决既有线车站出入口平台 800M 信号覆盖薄弱问题，拟采用新增 800M 无线中继设备的方式实施优化。该设备具备可移动特性，相较于传统固定式天线，部署形式更加灵活，可在线网内各车站统筹调配、复用。目前已熟练掌握该设备的数据配置方法，能够独立完成参数调试与开通，可实现快速部署与应急通信保障。</t>
  </si>
  <si>
    <t>计划完成项目施工</t>
  </si>
  <si>
    <t>约12</t>
  </si>
  <si>
    <t>现场检验定制固定台（800M无线中继设备）、耦合器、无线天线、馈线等设备性能和施工工艺满足相关要求。</t>
  </si>
  <si>
    <t>/</t>
  </si>
  <si>
    <t>1.提升线网内关键运营区域正常的生产运作和故障处理效率。
2.提升重大活动期间重点车站现场应急通信效率。</t>
  </si>
  <si>
    <t>设备设施融合提升技术</t>
  </si>
  <si>
    <t>生产技术部4</t>
  </si>
  <si>
    <t>青岛地铁400M无线中继系统关键站点覆盖改造项目</t>
  </si>
  <si>
    <t>已完成方案制定</t>
  </si>
  <si>
    <t>1、信号盲区显著：深埋站、换乘站因建筑结构屏蔽、管辖区域广、地下空间信号衰减严重，叠加400M设备发射功率限制，存在明显通讯盲区，影响日常运营与应急指挥。
2、通信稳定性不足：日常运营、应急演练及突发事件处置中，站务、司机、安保等多岗位协作时频繁出现信号中断、语音卡顿、通信延迟等问题，影响指令传递时效性与准确性。</t>
  </si>
  <si>
    <t>本次改造一共涉及14个重点车站，根据生产服务部提供的车站分级表，优先考虑对特一级车站、一级车站进行改造，共计24个车站。其中李村站和五四广场站已完成无线中继加装，剩余22个车站。结合信号盲区排查和站务专业的需求，王家港站、海泊桥站、井冈山路站、泰山路站、人民会堂站、麦岛站、浮山所站、燕儿岛路站和太平角公园站虽为一级站但基本满足通信需求，目前需求不迫切，将不纳入本次改造；辛屯站和港头站虽为二级、四级车站，但是受现场结构影响，信号通话质量差，日常调度协调频繁，对生产运作影响严重，也将纳入本次改造范围。</t>
  </si>
  <si>
    <t>本项目在既有400M对讲系统基础上，于14个重点车站加装400M无线数字中继系统，包括中继台、信号收发器、功率调控器、射频组件、馈线及天线等设备。系统部署于公安通信设备室，通过馈线及天线延伸信号至关键区域。
采用“重点应急覆盖”方案，重点改造车控室、站台两端、紧急出口、疏散楼梯、乘客密集区等核心应急区域，实现关键区域信号全覆盖，非重点区域暂不涉及改造，控制成本与施工复杂度。</t>
  </si>
  <si>
    <t>完成招投标及合同签订</t>
  </si>
  <si>
    <t>1.符合《城市轨道交通通信系统设计规范》及企业内部通信系统验收标准；
2.设备安装位置、数量、型号与设计一致；
3.系统功能测试，包括覆盖区域通话清晰度、信号强度、响应时间等；
4.设备说明书、竣工图纸、测试报告等资料归档完整；
5.各区域信号强度不低于-85dBm，通话无杂音、无中断；
6.系统连续运行72小时无故障。</t>
  </si>
  <si>
    <t>聚焦关键应急场景，精准覆盖高频刚性通信需求，改造成本较之功能盲区全覆盖节省26万元，效益显著，投资精益，且部署密度低、施工协调量小、周期短，后期运维压力低，全生命周期成本可控。</t>
  </si>
  <si>
    <t>提升重点车站应急通信保障能力，降低运营风险。</t>
  </si>
  <si>
    <t>生产技术部5</t>
  </si>
  <si>
    <t>基于信号源预处理技术应用的线网PIS直播视频优化与画质增强项目</t>
  </si>
  <si>
    <t>目前线网PIS直播存在画面模糊、运动场景锯齿等问题，为了提升乘客的观看体验，对直播信号系统架构进行了深入的系统分析，综合考虑信号源特性以及设备现状等多方面因素，特提出本优化方案。</t>
  </si>
  <si>
    <r>
      <rPr>
        <b/>
        <sz val="11"/>
        <color indexed="8"/>
        <rFont val="等线"/>
        <charset val="134"/>
      </rPr>
      <t xml:space="preserve">加装具备信号预处理功能的转码设备：
</t>
    </r>
    <r>
      <rPr>
        <sz val="11"/>
        <color indexed="8"/>
        <rFont val="等线"/>
        <charset val="134"/>
      </rPr>
      <t>为从源头解决广电输入原始信号与PIS系统终端解码、播放适配性不足的问题，切实提升直播画面清晰度与播放流畅度，本项目专门加装具备信号预处理功能的专用PIS转码设备。该设备搭载先进抗锯齿算法，可直接对接广电输入的原始直播信号，对信号进行二次转码、预处理优化，精准修正原始信号中的锯齿失真、画面模糊等问题，同步完成信号格式、参数的调试适配，确保处理后的信号完全符合线网PIS系统各终端的解码标准与播放要求，为后续画质提升、稳定传输筑牢前端技术基础，保障PIS直播画面呈现的一致性与高品质。</t>
    </r>
  </si>
  <si>
    <r>
      <rPr>
        <b/>
        <sz val="11"/>
        <color indexed="8"/>
        <rFont val="等线"/>
        <charset val="134"/>
      </rPr>
      <t xml:space="preserve">前端信号预处理赋能，实现画质精准适配
</t>
    </r>
    <r>
      <rPr>
        <sz val="11"/>
        <color indexed="8"/>
        <rFont val="等线"/>
        <charset val="134"/>
      </rPr>
      <t>突破传统PIS系统仅对终端信号进行解码播放的单一模式，创新引入具备智能信号预处理功能的专用转码设备。该设备内置先进抗锯齿算法，直接截取广电原始输入信号，完成从 “信号转码 - 画质增强 - 格式适配” 的一体化二次处理，实现对原始信号的 “精修润色”。此模式不仅解决了原有信号与终端解码标准不匹配、画面锯齿模糊等技术痛点，更构建了 “源头预处理 - 精准适配 - 稳定播放” 的全流程质量闭环，为线网 PIS 系统高清化运行提供了全新的技术路径与解决方案。</t>
    </r>
  </si>
  <si>
    <t>本项目已全面完成高清优化配套技术平台搭建工作，顺利部署新增信号预处理转码设备并完成全线点位调试接入现阶段已逐项完成信号转码、画质增强、稳定传输、终端播放等全流程功能测试，各项技术指标、画面效果、传输时延均满足标准。</t>
  </si>
  <si>
    <t>完成平台搭建及测试工作，各项技术指标、画面效果、传输时延均满足标准。</t>
  </si>
  <si>
    <t>-</t>
  </si>
  <si>
    <r>
      <rPr>
        <b/>
        <sz val="11"/>
        <color indexed="8"/>
        <rFont val="宋体"/>
        <charset val="134"/>
      </rPr>
      <t>1.社会效益</t>
    </r>
    <r>
      <rPr>
        <sz val="11"/>
        <color indexed="8"/>
        <rFont val="宋体"/>
        <charset val="134"/>
      </rPr>
      <t xml:space="preserve">
本项目通过线网PIS直播画质全面优化，显著提升了地铁线网公共信息传播的质量与效率，切实增强了市民出行体验。优化后的PIS直播画面清晰、播放流畅，有效解决了原有画面模糊、卡顿等问题，让市民在乘车过程中能清晰获取时政资讯、便民信息、应急通知等内容，拓宽了公共信息传播渠道，提升了信息传递的及时性与准确性。同时，高清化、稳定化的PIS直播体验，进一步完善了地铁公共服务配套功能，彰显了城市公共交通的精细化管理水平，助力提升城市整体形象与文明程度。此外，项目搭建的高可靠传输体系与画质优化机制，为后续公共交通领域视听服务升级提供了可复制、可推广的实践经验，推动公共服务数字化、品质化转型，切实惠及广大市民群众，增强群众出行的获得感与幸福感。
2.生态效益
本项目秉持绿色低碳、高效集约的建设理念，通过技术优化实现资源高效利用。在设备与技术应用方面，信号预处理转码设备的精准适配的，避免了设备冗余投入与资源闲置，提升了现有PIS系统的利用率，延长了设备使用寿命，减少了电子设备废弃带来的环境压力。同时，项目建立的“源头优化+中转处理+终端适配”全流程画质提升闭环，推动上游广电与地铁运维技术协同联动，形成了资源共享、高效协同的技术生态，避免了重复技术改造与资源投入，为公共交通领域视听服务绿色低碳发展提供了有效路径，助力构建资源节约、环境友好的公共服务生态体系。</t>
    </r>
  </si>
  <si>
    <t>已完成</t>
  </si>
  <si>
    <t>生产技术部6</t>
  </si>
  <si>
    <t>无人机自主接入平台调试</t>
  </si>
  <si>
    <t>当前行业无人机高度依赖大疆司空 2 等第三方低空平台，存在突出问题：一是平台使用存在持续性收费成本，长期运营将产生高额的服务费用；二是核心控制权受制于人，平台的功能更新、权限开放、数据管理等关键环节均由第三方主导，我方无法自主掌控平台核心配置与操作权限，业务开展的自主性和灵活性大打折扣；三是存在数据安全与业务适配风险，第三方平台的数传链路、数据存储均由外部管控，轨道交通作业过程中的空域数据、设备状态、巡检影像等核心业务数据的安全性与保密性缺乏自主保障。</t>
  </si>
  <si>
    <t>本项目聚焦“轨道+低空”融合发展需求，攻克无人机自主接入低空一网统飞平台核心技术难题，在行业无对接先例、技术积累为零的困境下实现关键突破。项目团队从设备对频、链路调通等基础环节起步，逐项攻克云服务配置、组织 ID 设定、设备绑定、MQTT 通信调试等技术要点，经平台一键起飞实测验证，成功将海大停车场 Matrice 4TD 无人机及机场 3 号设备接入平台，实现自有无人机的集中管控、统一调度与实时监控。同时，项目完成场段安防场景自主航线验证，落地首个标准化低空巡检应用场景，构建起从无人机基础调试、核心参数配置，到平台功能应用、业务航线规划，再到场景运营的全链条自主闭环体系，首次实现自有无人机与低空一网统飞平台的自主对接、稳定运行及业务场景落地。</t>
  </si>
  <si>
    <r>
      <rPr>
        <b/>
        <sz val="11"/>
        <rFont val="宋体"/>
        <charset val="134"/>
      </rPr>
      <t>1、技术突破创新</t>
    </r>
    <r>
      <rPr>
        <sz val="11"/>
        <rFont val="宋体"/>
        <charset val="134"/>
      </rPr>
      <t xml:space="preserve">：打破行业对接先例，在无现成技术路径、无适配经验的前提下，首次自主完成无人机接入低空一网统飞平台，实现“从0到1”的关键突破，摆脱对外部技术支持的依赖，掌握平台接入全流程核心配置能力。
</t>
    </r>
    <r>
      <rPr>
        <b/>
        <sz val="11"/>
        <rFont val="宋体"/>
        <charset val="134"/>
      </rPr>
      <t>2、能力构建创新：</t>
    </r>
    <r>
      <rPr>
        <sz val="11"/>
        <rFont val="宋体"/>
        <charset val="134"/>
      </rPr>
      <t>构建起“设备接入-平台操作-场景应用”的全链条自主闭环能力，不仅实现无人机与平台的稳定连接，更系统掌握平台核心功能，验证了技术成果向实战能力的快速转化，实现从“能连接”到“能使用”的跨越式提升。</t>
    </r>
  </si>
  <si>
    <t>平台可实现对自有无人机的一键起飞 / 返航实测验证，突破第三方平台技术限制，彻底摆脱对大疆司空 2 等外部平台的依赖，实现低空作业设备管控、调度的自主核心配置权，平台功能调整、参数设置无需外部授权。</t>
  </si>
  <si>
    <t>本项目通过实现无人机自主接入低空一网统飞平台，彻底摆脱对大疆司空 2 等第三方收费平台的依赖，消除了平台长期使用产生的持续性服务费、技术对接费等运营成本。</t>
  </si>
  <si>
    <t>本项目作为轨道+低空融合发展的关键实践，率先实现无人机自主接入低空一网统飞平台的技术突破，填补了公司内相关应用的技术空白，提供了可复制、可推广的实践范本。</t>
  </si>
  <si>
    <t>2026年3月</t>
  </si>
  <si>
    <t>青岛地铁运营有限公司100%</t>
  </si>
  <si>
    <t>生产技术部7</t>
  </si>
  <si>
    <t>PIS系统等保测评模式优化研究与应用</t>
  </si>
  <si>
    <t>传统PIS系统独立开展等保测评的模式，已逐渐暴露出“系统分散、成本冗余、流程繁琐”三大核心痛点，难以适配高效集约的安全管理需求。
1.1/4/6号线PIS系统作为独立的信息系统，需分别完成等保测评工作，直接导致“测评系统数量多”的问题。三条线路的PIS系统虽功能相近，但因建设时间、设备供应商、网络架构存在差异，需单独界定安全边界、梳理资产清单、制定测评方案，相当于重复开展三次“同质化”测评，这种分散式测评不仅造成管理资源的浪费。
2.但三条线路独立测评的总成本，远高于统一纳入MMCC后开展的单次三级测评费用，各线路需单独采购配套安全设备（如防火墙、日志审计系统）以满足二级等保要求，设备维护、升级需重复投入人力物力。
3.每条线路的PIS系统测评，需协调运营部门安排非运营时段停机窗口，组织线路运维人员配合访谈、提供运维记录，对接测评机构开展现场测试，流程繁琐且耗时耗力。</t>
  </si>
  <si>
    <t>1.全面梳理1/4/6号线PIS系统的资产清单（硬件设备、软件系统、数据接口等），明确纳入MMCC系统的设备范围、网络拓扑和数据流向。
2.组织专家论证，将原二级等保的PIS系统重新定级为三级，形成《网络安全等级保护定级报告》，说明定级依据（如系统重要性、数据敏感性、影响范围等）。
3.依据《网络安全等级测评与检测评估机构服务认证证书》要求，筛选具备三级等保测评资质的机构，明确测评范围、周期。
4.正式开展测评，通过访谈、工具扫描、渗透测试等方式，对照《GB/T 22239-2019》三级等保要求，识别PIS系统在物理安全、网络安全、主机安全、应用安全、数据安全等方面的差距并进行整改。
5.测评机构汇总测评结果，形成《网络安全等级保护测评报告》，明确测评结论。</t>
  </si>
  <si>
    <t>1.集约化管理模式创新：打破传统单线独立测评的孤立状态，通过MMCC系统实现多线PIS系统的统一纳管，构建集约化等保测评体系，减少重复测评成本，提升管理效能。
2.动态资源池构建：基于MMCC平台搭建安全测评资源池，实现测评工具、专家资源、数据模型的统一调度和共享。
3.动态防护能力升级：依托MMCC系统的全局视角，建立跨线路的威胁情报共享与联动防御机制，通过实时安全态势感知，动态调整防护策略，提升整体安全韧性。
4.合规与风控双轮驱动：将等保合规要求与安全风险管理深度融合，通过MMCC系统构建合规基线+风险量化双评价体系，实现从被动合规到主动风险管控的转型。</t>
  </si>
  <si>
    <t>2026年12月完成</t>
  </si>
  <si>
    <t>系统整合后完成三级等保测评</t>
  </si>
  <si>
    <t>减少三套系统两年一次的二级等保备案的测评费用支出，二级等保测评费用为4万元/套，共节省支出为6万元/年（4万元*3套/2年）。</t>
  </si>
  <si>
    <t>公司内管理效益：
1.推动企业建立“管理-技术-运营”三位一体防护网，覆盖入侵检测、数据加密、权限管控等领域，建立完善的应急响应机制；
2.避免盲目购买安全设备却未形成有效防护，合理分配网络安全预算，提高安全投资回报率；
3.明确企业、部门、员工的信息安全责任，建立权责清晰的安全管理架构，提高全员网络安全意识及企业应对新安全威胁的能力。
公司外社会效益：
1.通过三级等保的高标准防护（如入侵检测、实时威胁响应），有效防范针对PIS系统的网络攻击（如恶意篡改列车到站信息、紧急广播劫持），避免因系统瘫痪或虚假信息引发的乘客恐慌、踩踏等安全事故。
2.统一的MMCC平台可实现1/4/6号线PIS信息的集中调度，结合三级等保的稳定性保障，确保列车延误、应急疏散等信息实时、准确推送，减少乘客候车焦虑，提升出行体验。
3.相比单线独立开展二级等保，统一纳入MMCC进行三级测评可避免重复采购测评服务、安全设备，预计降低30%以上的安全运维成本，符合“双碳”目标下的资源节约要求。
4.依托该模式形成的《轨道交通PIS系统三级等保实施指南》《MMCC平台安全架构规范》等成果，可向其他城市地铁公司、有轨电车项目输出技术咨询服务，形成“安全能力产品化”的商业价值</t>
  </si>
  <si>
    <t>生产技术部8</t>
  </si>
  <si>
    <t>基于自主感知技术的主动防撞系统专题研究</t>
  </si>
  <si>
    <t xml:space="preserve">
围绕地铁列车碰撞安全风险，开展主动防撞系统行业技术调研，完成“单架构轨旁”“单架构车载”“全架构轨旁+车载”三类7种技术方案对比分析，已筛选出性价比最优方案，正针对方案短板开展性能提升研究</t>
  </si>
  <si>
    <t>1.现有防撞技术存在误报率高、探测距离不足、恶劣天气适应性差等问题，无法满足运营时段常态化使用需求；
2.轨旁方案维护成本高、依赖车地通信，全架构方案成本过高，需筛选适配新建线路的高性价比方案；
3.单一传感器方案识别精度低，需优化多传感器融合感知技术，提升障碍物识别与制动干预可靠性</t>
  </si>
  <si>
    <t>中心从传感器种类及传感器部署方式等方面进行研究，一是分析激光/毫米波雷达、摄像头等传感器性能及行业应用案例，研究主流厂商技术方案落地效果；二是从测距精度、弯道监测、成本、行业应用等维度，对比三类7种主动防撞技术方案优劣势；最终确定“单架构车载+雷达+摄像头融合”为推荐方案；同时针对误报率、探测距离、雨雾干扰三大问题，研究算法优化、雷达型号适配、多传感器协同融合等解决措施。</t>
  </si>
  <si>
    <t>1.方案选型创新：结合行业现状与新建线路需求，筛选出“低成本、高适配、可落地”的车载融合感知方案，平衡安全性与经济性；
2.技术优化创新：针对行业共性短板，研究雷达+摄像头多传感器融合算法，结合算力升级实现异物智能判断，降低误报率；
3.场景适配创新：针对地下/高架线路不同环境，研究激光雷达为主、毫米波雷达为辅的差异化感知方案，提升恶劣天气适应性</t>
  </si>
  <si>
    <t>完成研究方案</t>
  </si>
  <si>
    <t>选用车载融合方案，相较全架构方案节约建设及维护成本约50%，大幅降低后期运维投入</t>
  </si>
  <si>
    <t>从源头规避列车碰撞安全事故，提升新建线路列车运行安全性，适配全自动运行模式无人化运营需求，为行业主动防撞系统应用提供技术参考</t>
  </si>
  <si>
    <t>2026年12月底</t>
  </si>
  <si>
    <t xml:space="preserve">
设备设施融合提升技术</t>
  </si>
  <si>
    <t>生产技术部9</t>
  </si>
  <si>
    <t>计算机类设备硬件配件价格趋势分析与供应链创新应对研究</t>
  </si>
  <si>
    <t>1.开展计算机类核心配件市场价格趋势、产业链传导及中心配件运维现状摸排，
2.已完成市场数据初步采集与中心配件在用、故障、库存数据统计
3.初步完成深度分析与策略制定</t>
  </si>
  <si>
    <t>1.全球半导体存储行业价格高位运行，中心计算机类配件（内存、硬盘等）采购成本大幅上涨，需通过趋势分析精准控本；
2.核心配件库存告急，供应链存在紧缺风险，需构建适配趋势的库存；
3.传统配件采购被动应对，缺乏前瞻性预判，需建立趋势导向的采购与管理新模式</t>
  </si>
  <si>
    <t>1.全产业链价格趋势分析：梳理CPU、内存（DDR3/DDR4/DDR5）、硬盘（SATA/SAS/NVME）等配件近一年价格波动，拆解上游原材料、中游存储芯片、下游配件模组价格传导机制，研判2026-2027年价格走势；
2.中心配件现状精准摸排：统计配件在用量、故障更换数据、库存余量，测算库存可用周期，识别紧缺配件与风险点；
3.创新应对策略制定：按价格趋势+库存安全双维度，制定差异化采购策略，构建“分类管控、分级备货”的库存管控体系，建立供应链风险预警与应对机制</t>
  </si>
  <si>
    <t>1.突破终端价格分析局限，构建“上游原材料-中游芯片-下游配件”全产业链趋势分析模型，精准研判价格传导与走势；2.策略模式创新：制定趋势导向型差异化采购策略，将采购节奏、数量与价格趋势深度适配，区别于传统被动采购模式；3.管理机制创新：建立“趋势预判-库存管控-风险预警-动态优化”闭环管理体系，提升配件管理的前瞻性与科学性</t>
  </si>
  <si>
    <t>完成分析并形成研究报告</t>
  </si>
  <si>
    <t>通过精准采购与库存管控，预计节约配件采购成本 25% 以上，减少库存资金占用</t>
  </si>
  <si>
    <t>保障公司设备专业计算机类设备稳定运维，提升供应链抗风险能力，为行业同类物资管理提供可复制的实践经验.</t>
  </si>
  <si>
    <t>安全应急技术
绿色综合技术</t>
  </si>
  <si>
    <t>生产技术部10</t>
  </si>
  <si>
    <t>自动化中心新线管理平台</t>
  </si>
  <si>
    <t xml:space="preserve">
新线筹备线路多线台账零散、计划更新繁琐；
新线规章、技术标准资料分散存储，查阅调取不便，一线参建复用难度大。</t>
  </si>
  <si>
    <t>优化新线筹备计划模块，实现关键节点、里程碑任务线上可视化管控，支持动态更新、进度预警；
完善新线督办全流程管理，整改反馈、线上闭环，留存全过程台账；
固化参建积分，动态调整积分，实现积分自动核算、在线溯源；
新线规章知识库，分类归集标准规范、技术方案、实操手册，在线查阅复用。</t>
  </si>
  <si>
    <t xml:space="preserve">管理模式创新：将传统线下人工管控转为线上数字化全流程管理，打通筹备、督办、积分、资料全链条；
协同赋能创新：搭建统一规章知识共享库，沉淀新线建设标准化经验；
</t>
  </si>
  <si>
    <t>完成系统上线</t>
  </si>
  <si>
    <t>1.  提升新线建设管理规范化水平，通过数字化闭环管控，减少人工失误，保障新线按时、按质开通。
2.  以积分量化成效，营造公平公正的参建，提升参建人员积极性，推动行业管理标准化、精细化发展，带动相关从业人员专业能力提升。
3.提升自动化中心新线管理效率，减少人工投入，降低管理成本，实现降本增效，为后续新线建设提供可复制、可推广的数字化管理方案。
2. 推动自动化运维领域数字化转型，打破信息壁垒，实现数据共享。</t>
  </si>
  <si>
    <t>生产技术部11</t>
  </si>
  <si>
    <t>信号微机监测系统优化与数据应用创新研究</t>
  </si>
  <si>
    <t>已完成信号微机监测系统现有功能、数据采集范围及应用现状全面梳理，统计道岔等核心设备监测数据类型与异常报警记录，初步识别系统数据利用率低、预警精准度不足等问题，正开展数据分析与功能优化方案研究</t>
  </si>
  <si>
    <t>1.现有系统数据采集存在“碎片化”问题，道岔动作电流、轨道电压等数据未形成关联分析，难以精准定位设备隐患；2.部分设备状态需依靠人工检查判定，存在故障发现滞后的风险，计划研究技术监测方法，对设备运行状态进行实时监控与故障预警。
3.数据应用局限于“事后查询”，缺乏设备寿命预测、故障趋势预判等前瞻性应用，无法支撑信号设备预防性维护</t>
  </si>
  <si>
    <t>中心针对微机监测系统的现状进行深度梳理，明确各线路微机监测系统差异，并结合各线路差异分析后续微机监测系统优化方向，同时调研各线路业务骨干或班组，收集未来微机监测可优化的方向或点位并纳入新线建设需求；最后根据差异分析和可以采纳的智慧化手段形成不同种类（既有线缺失需补齐、既有线功能优化、结合智慧化手段可增加）需求表。</t>
  </si>
  <si>
    <t>1.数据整合创新：突破传统单设备、单数据项的监测局限，搭建多设备数据关联分析模型，精准定位设备隐患根源。
2.应用模式创新：推动监测数据从事后故障追溯向事前隐患预判转变，落地设备预防性维护模式，替代传统被动维修方式。
3.功能升级创新：结合智慧化技术迭代系统功能，优化故障处置流程，提升现场故障处理效率。</t>
  </si>
  <si>
    <t>完成梳理并结合新线需求形成需求表</t>
  </si>
  <si>
    <t>通过预防性维护减少故障抢修成本与备件消耗，延长设备使用寿命</t>
  </si>
  <si>
    <t>提升信号设备运行稳定性，信号故障时系统可快速定位故障，提升故障处置效率，为信号监测系统智能化升级提供技术参考</t>
  </si>
  <si>
    <t>安全应急技术
绿色综合技术
设备设施融合提升技术</t>
  </si>
  <si>
    <t>生产技术部12</t>
  </si>
  <si>
    <t>基于ISCS系统的PSL报警优化</t>
  </si>
  <si>
    <t>通过提升报警等级、增收报警音等方式提升综合监控系统的警示性，提醒站务人员对此类问题的敏感度。</t>
  </si>
  <si>
    <t>统一各线路设置标准，计划修改综合监控系统平台设置，将各线路站台门系统PSL转为有效（使能）、操作PSL开关门命令下发及状态反馈等信息，统一优化为二级报警，以实现上述信息在综合监控人机页面上的报警栏显示、报警音提示功能。</t>
  </si>
  <si>
    <t>统一不同线路间的设置差异，服务于开通前运营安全检查，实现全线设备报警能力升级。</t>
  </si>
  <si>
    <t>完成优化调整</t>
  </si>
  <si>
    <t>强化站台门系统安全监控效能，精准匹配报警等级，实现线网172座车站的PSL设备报警全面升级，警示能力提升100%。</t>
  </si>
  <si>
    <t>有效提升设备报警能力提升，规避站务人员误操作、少操作带来的安全隐患。</t>
  </si>
  <si>
    <t>生产技术部13</t>
  </si>
  <si>
    <t>海大停车场安防设施无人机智能巡检</t>
  </si>
  <si>
    <t>已常态化落地应用</t>
  </si>
  <si>
    <t>一是解决传统人工巡检模式下效率低下、耗时过长的问题，人工围绕场段全周巡视耗时久；
二是解决人工巡检存在登高作业安全风险的问题，安防摄像机等设备多为高空布设，人工登高检查易引发坠落等安全事故；</t>
  </si>
  <si>
    <t>本项目聚焦海大停车场安防运维实际需求，依托低空一网统飞平台，开展安防设施无人机智能巡检体系建设，针对停车场安防周界报警设备、安防摄像机两类核心安防设施，完成专属巡检航线的精准设计与固化，实现无人机固定周巡、自动巡视、自动返航的全流程智能化巡检。项目摒弃传统人工绕场巡检模式，通过在低空一网统飞平台上进行航点精准规划、巡检参数个性化设置，让无人机按照预设航线自主完成全场景巡检，无需人工现场操控与跟随，巡检画面实时回传至平台，工作人员可在后台同步查看设备状态，实现安防设施巡检的远程化、自动化、标准化。项目成功落地后，构建起海大停车场安防设施无人机智能巡检闭环体系，大幅提升巡检效率与质量，从根本上解决人工巡检的各类痛点，为场段安防设施运维打造智能化新范式。</t>
  </si>
  <si>
    <r>
      <rPr>
        <b/>
        <sz val="11"/>
        <color indexed="8"/>
        <rFont val="宋体"/>
        <charset val="134"/>
      </rPr>
      <t>1.巡检模式创新：</t>
    </r>
    <r>
      <rPr>
        <sz val="11"/>
        <color indexed="8"/>
        <rFont val="宋体"/>
        <charset val="134"/>
      </rPr>
      <t xml:space="preserve">打破海大停车场周界设备传统人工绕场巡检的固有模式，率先将无人机技术与低空一网统飞平台深度融合，实现 “平台规划-自动巡检-实时回传-自动返航”的全流程智能化巡检，无需人工现场参与，彻底摆脱对人工巡检的依赖，重构场段安防设施巡检流程。
</t>
    </r>
    <r>
      <rPr>
        <b/>
        <sz val="11"/>
        <color indexed="8"/>
        <rFont val="宋体"/>
        <charset val="134"/>
      </rPr>
      <t>2.航线设计创新：</t>
    </r>
    <r>
      <rPr>
        <sz val="11"/>
        <color indexed="8"/>
        <rFont val="宋体"/>
        <charset val="134"/>
      </rPr>
      <t xml:space="preserve">针对海大停车场安防周界报警设备、安防摄像机的布设位置、巡检重点，在低空一网统飞平台上进行定制化航点与航线设计，精准覆盖所有巡检点位，实现巡检点位无死角、巡检重点全覆盖，保障巡检的全面性与精准性。
</t>
    </r>
    <r>
      <rPr>
        <b/>
        <sz val="11"/>
        <color indexed="8"/>
        <rFont val="宋体"/>
        <charset val="134"/>
      </rPr>
      <t>3.作业方式创新：</t>
    </r>
    <r>
      <rPr>
        <sz val="11"/>
        <color indexed="8"/>
        <rFont val="宋体"/>
        <charset val="134"/>
      </rPr>
      <t xml:space="preserve">通过固化平台巡检参数，实现无人机固定周期自主巡检，同时将工作人员从高空作业、绕场奔波的繁重工作中解放出来，消除登高作业的安全风险。
</t>
    </r>
    <r>
      <rPr>
        <b/>
        <sz val="11"/>
        <color indexed="8"/>
        <rFont val="宋体"/>
        <charset val="134"/>
      </rPr>
      <t>4.巡检管理创新：</t>
    </r>
    <r>
      <rPr>
        <sz val="11"/>
        <color indexed="8"/>
        <rFont val="宋体"/>
        <charset val="134"/>
      </rPr>
      <t>依托低空一网统飞平台实现巡检画面实时回传、巡检数据全程留存，打造“可视化、可追溯、标准化”的巡检管理体系，工作人员在后台即可完成设备状态检查，巡检结果可实时记录、随时调取，提升安防运维管理的精细化水平。</t>
    </r>
  </si>
  <si>
    <t>在海大停车场实现常态化落地</t>
  </si>
  <si>
    <t>通过实现海大停车场安防设施无人机智能化巡检，原本2人 3小时完成的巡检工作，无人机可在5min内高效完成，提升安工作效率，节省人力。实现跨专业融合。</t>
  </si>
  <si>
    <t>彻底消除海大停车场安防设施巡检中的人工登高作业风险，彰显 “科技保安全” 的运维理念；无人机智能巡检模式大幅提升安防设施巡检的及时性与全面性，可及时发现设备隐患并快速处置，保障停车场安防周界报警系统、摄像监控系统的稳定运行，提升停车场的安防防护能力。</t>
  </si>
  <si>
    <r>
      <rPr>
        <sz val="11"/>
        <rFont val="宋体"/>
        <charset val="134"/>
      </rPr>
      <t>自动化中心10</t>
    </r>
    <r>
      <rPr>
        <sz val="11"/>
        <rFont val="宋体"/>
        <charset val="134"/>
      </rPr>
      <t>0</t>
    </r>
    <r>
      <rPr>
        <sz val="11"/>
        <rFont val="宋体"/>
        <charset val="134"/>
      </rPr>
      <t>%</t>
    </r>
  </si>
  <si>
    <t xml:space="preserve">
自主化替代技术
设备设施融合提升技术</t>
  </si>
  <si>
    <t>生产技术部14</t>
  </si>
  <si>
    <t>站台门防踏空胶条高性能改性材料研发项目</t>
  </si>
  <si>
    <t>解决现有站台门防踏空胶条（三元乙丙硫化材质）一体化成本高、易损耗、梳齿柔韧性不佳的问题，适配地铁站台长期高频次运营、大客流的使用环境，同时降低胶条刮车时对列车的损坏，材料需兼具低综合成本、优异耐腐蚀性、高阻燃性能、良好柔韧性。</t>
  </si>
  <si>
    <t xml:space="preserve">本项目联合青岛科技大学组建专项攻关团队，通过全流程闭环模式推进新型防踏空胶条研发，具体内容如下：
1.联合科技大学实验室完成现有防踏空胶条多维度检测，明确实物性能与图纸技术要求的偏差，定位材料核心性能短板。
2.联合高校开展胶条改性材料配方研发，结合检测结果优化成分配比与生产工艺，实现性能与成本双优化。
3.完成新型胶条图纸设计并启动开模，同步推进轻量化设计，优化材料密度、内部钢板重量，解决胶条加厚后螺栓承重不足问题。
4.按图纸技术标准推进产品开发，优化图纸缩小站台与列车间隙，完成开模并产出样品开展性能测试。
5.选取不同运营场景试点站点开展样品现场试用，跟踪使用效果并迭代优化，形成可批量生产的成熟产品。
</t>
  </si>
  <si>
    <r>
      <rPr>
        <b/>
        <sz val="11"/>
        <rFont val="等线"/>
        <charset val="134"/>
      </rPr>
      <t>1.轻量化设计创新</t>
    </r>
    <r>
      <rPr>
        <sz val="11"/>
        <rFont val="等线"/>
        <charset val="134"/>
      </rPr>
      <t>：联合青岛科技大学开展定制化轻量化研发，通过降低材料密度、优化内部支撑板，由铝合金板替代钢板，从结构和材质双维度解决胶条加厚后螺栓承重不足的行业痛点，兼顾产品性能提升与安装适配性。通过降低密度实现胶条柔韧性、耐磨性、阻燃性的提升，同时降低材料一体化生产成本。
2.</t>
    </r>
    <r>
      <rPr>
        <b/>
        <sz val="11"/>
        <rFont val="等线"/>
        <charset val="134"/>
      </rPr>
      <t>场景适配创新：</t>
    </r>
    <r>
      <rPr>
        <sz val="11"/>
        <rFont val="等线"/>
        <charset val="134"/>
      </rPr>
      <t>针对地铁站台大客流、高频次运营、多环境腐蚀的特殊场景，定制化研发材料性能指标，精准匹配现场运营需求，减少胶条刮车对列车的损伤。
3.</t>
    </r>
    <r>
      <rPr>
        <b/>
        <sz val="11"/>
        <rFont val="等线"/>
        <charset val="134"/>
      </rPr>
      <t>产学研融合创新：</t>
    </r>
    <r>
      <rPr>
        <sz val="11"/>
        <rFont val="等线"/>
        <charset val="134"/>
      </rPr>
      <t>结合地铁一线运营数据与高校实验室研发能力，联动专业企业完成检测、设计、开模全流程，实现从现场需求到材料研发、测试、应用的全链条闭环，确保研发成果贴合实际运营场景。</t>
    </r>
  </si>
  <si>
    <t>2026年底完成</t>
  </si>
  <si>
    <t>研发出材料兼具低综合成本、优异耐腐蚀性、高阻燃性能、良好柔韧性。</t>
  </si>
  <si>
    <r>
      <rPr>
        <sz val="11"/>
        <rFont val="等线"/>
        <charset val="134"/>
      </rPr>
      <t>本项目研发的一体式防踏空胶条适配青岛地铁线网站台门间隙改造核心需求，从</t>
    </r>
    <r>
      <rPr>
        <b/>
        <sz val="11"/>
        <rFont val="等线"/>
        <charset val="134"/>
      </rPr>
      <t>改造成本、运营运维、风险管控、长远发展</t>
    </r>
    <r>
      <rPr>
        <sz val="11"/>
        <rFont val="等线"/>
        <charset val="134"/>
      </rPr>
      <t xml:space="preserve">四大方面实现经济价值提升，核心效益突出且落地性强，具体分析如下：
</t>
    </r>
    <r>
      <rPr>
        <b/>
        <sz val="11"/>
        <rFont val="等线"/>
        <charset val="134"/>
      </rPr>
      <t>一、改造成本方面</t>
    </r>
    <r>
      <rPr>
        <sz val="11"/>
        <rFont val="等线"/>
        <charset val="134"/>
      </rPr>
      <t xml:space="preserve">：集约管控项目投入，实现资金高效利用
优化采用 “小间隙加装绝缘胶垫 + 大间隙采用一体式胶条” 组合改造策略，将线网初期全线路胶条更换的 679.25 万元预算压缩至 154.57 万元，直接降本 524.68 万元，降幅超 77%。同时结合线网 770 根胶条实际需求优化开模设计，避免重复、无效开模，依托轻量化研发减少材料耗材，进一步降低胶条生产与采购单位成本，提升项目资金使用效率。
</t>
    </r>
    <r>
      <rPr>
        <b/>
        <sz val="11"/>
        <rFont val="等线"/>
        <charset val="134"/>
      </rPr>
      <t>二、运营运维方面：</t>
    </r>
    <r>
      <rPr>
        <sz val="11"/>
        <rFont val="等线"/>
        <charset val="134"/>
      </rPr>
      <t xml:space="preserve">降低全周期损耗，节约日常各项开支
新型胶条通过配方改性 + 轻量化结构设计，解决传统胶条易损耗、耐磨性差、螺栓承重不足致脱落的问题，大幅提升部件使用寿命，减少备件重复采购成本。胶条稳定性与适配性提升，减少设备故障、车体剐蹭引发的应急维修与巡检整改工作，降低运维人工成本；同时精准匹配间隙改造标准，从源头减少剐蹭，避免列车车身维修、胶条二次整改的额外费用。
</t>
    </r>
    <r>
      <rPr>
        <b/>
        <sz val="11"/>
        <rFont val="等线"/>
        <charset val="134"/>
      </rPr>
      <t>三、风险管控方面：</t>
    </r>
    <r>
      <rPr>
        <sz val="11"/>
        <rFont val="等线"/>
        <charset val="134"/>
      </rPr>
      <t xml:space="preserve">规避运营隐性风险，减少非生产性支出
有效缩小站台与列车间隙，降低乘客掉入间隙的安全风险，减少客伤事故发生概率，避免客伤赔偿、纠纷处理等隐性经济损失。从根源减少设备故障、客伤事故引发的舆情风险，避免投入人力物力开展舆情处置与公关协调，节约企业管理资源，减少非生产性开支。
</t>
    </r>
    <r>
      <rPr>
        <b/>
        <sz val="11"/>
        <rFont val="等线"/>
        <charset val="134"/>
      </rPr>
      <t>四、长远发展方面</t>
    </r>
    <r>
      <rPr>
        <sz val="11"/>
        <rFont val="等线"/>
        <charset val="134"/>
      </rPr>
      <t>：形成标准化体系，赋能线网长期价值
新型胶条研发后形成标准化设计、生产、安装体系，可直接复用于青岛地铁新线建设与既有线路维护，省去重复研发、开模的前期成本。标准化产品适配不同线路、站台场景，可形成规模化采购优势，降低单根胶条采购成本；标准化安装流程提升施工效率，减少人工成本，为后续线网拓展、设备升级提供经济高效的解决方案，实现长期价值赋能。</t>
    </r>
  </si>
  <si>
    <r>
      <rPr>
        <b/>
        <sz val="11"/>
        <rFont val="等线"/>
        <charset val="134"/>
      </rPr>
      <t>1.社会效益方面</t>
    </r>
    <r>
      <rPr>
        <sz val="11"/>
        <rFont val="等线"/>
        <charset val="134"/>
      </rPr>
      <t xml:space="preserve">
有效缩小站台门与列车间隙，从源头降低乘客坠隙风险，大幅提升地铁乘车安全系数，切实保障市民出行安全。优化胶条适配性减少车体剐蹭，提升列车运行稳定性与客运服务质量，增强市民出行体验与幸福感。项目通过校企协同攻关实现技术落地，为城市轨道交通设备升级提供示范方案，助力青岛地铁打造安全、高效的公共交通体系，同时推动本地产学研用深度融合，赋能城市轨道交通产业技术创新。
2.</t>
    </r>
    <r>
      <rPr>
        <b/>
        <sz val="11"/>
        <rFont val="等线"/>
        <charset val="134"/>
      </rPr>
      <t>生态效益方面</t>
    </r>
    <r>
      <rPr>
        <sz val="11"/>
        <rFont val="等线"/>
        <charset val="134"/>
      </rPr>
      <t xml:space="preserve">
新型胶条通过轻量化设计与配方改性，提升材料利用率，减少生产过程中的耗材浪费。胶条使用寿命大幅延长，降低备件更换频次，减少废旧胶条等固体废弃物产生，减轻环境处置压力。同时，减少因设备故障、剐蹭整改带来的能源与物料消耗，推动地铁运营向绿色低碳化发展，契合城市生态环保与可持续发展的整体要求。</t>
    </r>
  </si>
  <si>
    <t>科技创新部5%，自动化中心65%</t>
  </si>
  <si>
    <t>青岛晟科材料有限公司30%</t>
  </si>
  <si>
    <t>生产技术部15</t>
  </si>
  <si>
    <t>站台门地槛高耐久速干绝缘涂料研发项目</t>
  </si>
  <si>
    <t>解决现有站台门地槛绝缘漆速干性不佳、绝缘性能不强、漆面干透过慢、耐磨性能不足的问题，提升绝缘涂料的速干效果、长效绝缘性和现场耐磨损能力，适配地铁站台门地槛的高频次使用与复杂磨损环境。</t>
  </si>
  <si>
    <r>
      <rPr>
        <b/>
        <sz val="11"/>
        <color indexed="8"/>
        <rFont val="宋体"/>
        <charset val="134"/>
      </rPr>
      <t>1.现状调研与样品检测：</t>
    </r>
    <r>
      <rPr>
        <sz val="11"/>
        <color indexed="8"/>
        <rFont val="宋体"/>
        <charset val="134"/>
      </rPr>
      <t xml:space="preserve">全面调研青岛地铁各线路站台门地槛绝缘漆的现场使用及磨损情况，采集多场景下的绝缘漆样品，联合青岛科技大学在实验室开展全性能检测，分析现有绝缘漆速干、绝缘、耐磨性能不足的核心原因。
</t>
    </r>
    <r>
      <rPr>
        <b/>
        <sz val="11"/>
        <color indexed="8"/>
        <rFont val="宋体"/>
        <charset val="134"/>
      </rPr>
      <t>2.新型涂料配方研发：</t>
    </r>
    <r>
      <rPr>
        <sz val="11"/>
        <color indexed="8"/>
        <rFont val="宋体"/>
        <charset val="134"/>
      </rPr>
      <t xml:space="preserve">依托青岛科技大学研发优势，将现有绝缘漆材质与高校自研新型涂料材质做对比试验，针对性开展高耐久速干绝缘涂料配方研发，重点优化成膜速度、绝缘电阻、耐摩擦系数等关键指标。
</t>
    </r>
    <r>
      <rPr>
        <b/>
        <sz val="11"/>
        <color indexed="8"/>
        <rFont val="宋体"/>
        <charset val="134"/>
      </rPr>
      <t>3.实验室性能测试与优化：</t>
    </r>
    <r>
      <rPr>
        <sz val="11"/>
        <color indexed="8"/>
        <rFont val="宋体"/>
        <charset val="134"/>
      </rPr>
      <t xml:space="preserve">对研发的新型绝缘涂料开展多轮实验室测试，验证速干性、长效绝缘性、耐磨性、附着力等核心性能，根据测试结果持续迭代优化配方，形成符合地铁运营场景需求的定型涂料产品。
</t>
    </r>
    <r>
      <rPr>
        <b/>
        <sz val="11"/>
        <color indexed="8"/>
        <rFont val="宋体"/>
        <charset val="134"/>
      </rPr>
      <t>4.现场试点涂刷与工艺调试</t>
    </r>
    <r>
      <rPr>
        <sz val="11"/>
        <color indexed="8"/>
        <rFont val="宋体"/>
        <charset val="134"/>
      </rPr>
      <t>：选取青岛地铁不同运营场景的试点站点，开展新型涂料现场涂刷试验，全程跟踪监测漆面干燥时间、实际绝缘效果、现场耐磨损程度，根据现场反馈优化涂料施工工艺，确保产品适配现场实际使用需求。</t>
    </r>
  </si>
  <si>
    <r>
      <rPr>
        <b/>
        <sz val="11"/>
        <color indexed="8"/>
        <rFont val="宋体"/>
        <charset val="134"/>
      </rPr>
      <t>1.核心性能突破创新</t>
    </r>
    <r>
      <rPr>
        <sz val="11"/>
        <color indexed="8"/>
        <rFont val="宋体"/>
        <charset val="134"/>
      </rPr>
      <t>：聚焦站台门地槛高频摩擦的使用痛点，提升绝缘涂料耐磨性的，同时加大绝缘性，优化速干性适配站台门地槛复杂使用场景。
2.</t>
    </r>
    <r>
      <rPr>
        <b/>
        <sz val="11"/>
        <color indexed="8"/>
        <rFont val="宋体"/>
        <charset val="134"/>
      </rPr>
      <t>工艺适配落地创新</t>
    </r>
    <r>
      <rPr>
        <sz val="11"/>
        <color indexed="8"/>
        <rFont val="宋体"/>
        <charset val="134"/>
      </rPr>
      <t>：结合地铁站台现场施工环境，优化新型涂料施工工艺，确保涂料在现场实际涂刷中能充分发挥高耐磨、速干、耐久的性能优势，降低施工难度，保障性能落地效果。</t>
    </r>
  </si>
  <si>
    <t>提升绝缘涂料的速干效果、长效绝缘性和现场耐磨损能力，适配地铁站台门地槛的高频次使用与复杂磨损环境。</t>
  </si>
  <si>
    <t>本项目研发的高耐久速干绝缘涂料，直击传统绝缘漆性能短板，聚焦耐磨性极致提升并协同优化多项核心性能，从项目投入、运营运维、资源利用等多维度创造显著经济价值，具体如下：
1.降低重复施工成本，新型涂料耐磨性大幅提升，适配站台门地槛高频摩擦场景，大幅延长涂层使用寿命，减少传统涂料因磨损快导致的频繁重涂、补涂工作，直接降低涂料耗材的重复采购成本与施工人工成本。
2.节约运维人力与时间成本，涂料速干性、长效绝缘性同步提升，涂刷后快速成膜投入使用，减少施工对地铁运营的影响，同时长效稳定的绝缘、耐磨性能降低后期巡检、维修频次，节约运维人员的人力投入与时间成本。
3.提升研发与材料利用效率，通过对比研发精准定位性能短板，针对性优化配方，避免盲目研发带来的资金浪费，提升研发资金使用效率；同时高耐久特性减少涂料消耗与废弃量，提升材料利用率，间接降低物料处置相关成本。
4.缩减故障关联成本，优异的绝缘与耐磨性能从源头减少因涂层破损导致的设备绝缘故障、地槛磨损修复等问题，避免设备故障引发的运营调整、部件维修等额外经济支出，保障地铁运营的经济效率。</t>
  </si>
  <si>
    <t>1.保障设备稳定运行，提升地铁运营效率。新型涂料耐磨性与绝缘性大幅提升，有效减少站台门地槛设备故障，降低因设备问题引发的运营中断概率，为市民提供顺畅的地铁出行服务。
2.缩短施工周期，减少对市民出行的干扰。涂料具备优异速干特性，涂刷后可快速成膜投入使用，大幅缩短现场施工时长，降低施工工序对地铁正常运营的影响，提升市民出行体验。
3.推动技术创新，助力城市公共交通建设。通过校企协同研发模式，实现轨道交通配套材料技术突破，为城市轨道交通设备升级提供优质解决方案，助力青岛打造安全、高效的公共交通体系，提升城市整体公共服务质量。</t>
  </si>
  <si>
    <t>生产技术部16</t>
  </si>
  <si>
    <t>站台门吊挂轮新防护材料升级项目</t>
  </si>
  <si>
    <t>解决青岛地铁 3 号线站台门吊挂轮原 “铁 + 胶” 结构耐磨性不足、胶体磨损产生异响，以及试用尼龙材质轮体仍存在异响的问题，研发高耐磨、低异响的新一代吊挂轮材料，提升设备运行平稳性，延长部件使用寿命，优化乘客乘车体验。</t>
  </si>
  <si>
    <r>
      <rPr>
        <b/>
        <sz val="11"/>
        <rFont val="宋体"/>
        <charset val="134"/>
      </rPr>
      <t>1.现状检测与指标明确：</t>
    </r>
    <r>
      <rPr>
        <sz val="11"/>
        <rFont val="宋体"/>
        <charset val="134"/>
      </rPr>
      <t>校企联合拆解 3 号线现有 “铁 + 胶”、尼龙材质吊挂轮，开展红外、热重及硬度、摩擦系数、结构适配性等全性能检测，结合材料牌号、成分分析结果及现场运营数据，定位异响、不耐磨、尺寸稳定性差等核心问题，明确新一代吊挂轮耐磨、静音、力学性能及尺寸稳定性核心指标。
2.</t>
    </r>
    <r>
      <rPr>
        <b/>
        <sz val="11"/>
        <rFont val="宋体"/>
        <charset val="134"/>
      </rPr>
      <t>专用新材料研发：</t>
    </r>
    <r>
      <rPr>
        <sz val="11"/>
        <rFont val="宋体"/>
        <charset val="134"/>
      </rPr>
      <t xml:space="preserve">依托青岛科技大学材料研发平台，针对性开展吊挂轮专用新材料攻关，重点研发玻纤增强尼龙新型材料，打造兼具高耐磨性、低摩擦系数、良好结构稳定性与尺寸稳定性的吊挂轮专用材料，匹配站台门实际运行工况需求。
</t>
    </r>
    <r>
      <rPr>
        <b/>
        <sz val="11"/>
        <rFont val="宋体"/>
        <charset val="134"/>
      </rPr>
      <t>3.样品试制与性能测试：</t>
    </r>
    <r>
      <rPr>
        <sz val="11"/>
        <rFont val="宋体"/>
        <charset val="134"/>
      </rPr>
      <t xml:space="preserve">根据研发新材料特性制作新一代吊挂轮样品，在实验室完成耐磨、静音、疲劳强度、尺寸稳定性等关键性能测试，同步搭建寿命评价工装验证产品耐磨性与可靠性，确保各项指标均符合地铁运营要求。
</t>
    </r>
    <r>
      <rPr>
        <b/>
        <sz val="11"/>
        <rFont val="宋体"/>
        <charset val="134"/>
      </rPr>
      <t>4.现场试点装机试用：</t>
    </r>
    <r>
      <rPr>
        <sz val="11"/>
        <rFont val="宋体"/>
        <charset val="134"/>
      </rPr>
      <t>选取青岛地铁 3 号线试点站点，开展新一代吊挂轮现场装机试用，全程跟踪设备运行状态，检测磨损程度、异响情况、运行平稳性及尺寸变化情况。
技术推广应用：根据试点试用结果优化定型产品，制定新一代吊挂轮标准化更换、维护规范，推动在 3 号线全线规模化应用，同时形成可复制的标准化技术方案，为青岛地铁其他线路吊挂轮升级提供技术参考与实施依据。</t>
    </r>
  </si>
  <si>
    <r>
      <rPr>
        <b/>
        <sz val="11"/>
        <color indexed="8"/>
        <rFont val="宋体"/>
        <charset val="134"/>
      </rPr>
      <t>1.材料研发创新：</t>
    </r>
    <r>
      <rPr>
        <sz val="11"/>
        <color indexed="8"/>
        <rFont val="宋体"/>
        <charset val="134"/>
      </rPr>
      <t xml:space="preserve">针对 “铁 + 胶” 聚氨酯轮牌号选型不当、尼龙轮无玻纤增强引发的不耐磨、易变形、尺寸稳定性差等痛点，精准研发高硬度聚酯型浇筑聚氨酯、玻纤增强尼龙等适配材料，大幅提升工况匹配度。
</t>
    </r>
    <r>
      <rPr>
        <b/>
        <sz val="11"/>
        <color indexed="8"/>
        <rFont val="宋体"/>
        <charset val="134"/>
      </rPr>
      <t>2.升级服务创新：</t>
    </r>
    <r>
      <rPr>
        <sz val="11"/>
        <color indexed="8"/>
        <rFont val="宋体"/>
        <charset val="134"/>
      </rPr>
      <t>将 “低异响” 作为核心研发指标，以优化乘客乘车体验为导向，兼顾设备耐磨、稳定等性能提升与出行感官体验，实现技术创新与客运服务提质深度结合。</t>
    </r>
    <r>
      <rPr>
        <b/>
        <sz val="11"/>
        <color indexed="8"/>
        <rFont val="宋体"/>
        <charset val="134"/>
      </rPr>
      <t xml:space="preserve">
3.全方位适配创新：</t>
    </r>
    <r>
      <rPr>
        <sz val="11"/>
        <color indexed="8"/>
        <rFont val="宋体"/>
        <charset val="134"/>
      </rPr>
      <t>研发中兼顾耐磨性、静音性核心性能与尺寸稳定性、抗吸水性、负载能力等适配指标，解决传统材料吸水胀、蠕变大等问题，保障部件全生命周期稳定运行。</t>
    </r>
  </si>
  <si>
    <t>研发出高耐磨、低异响的新一代吊挂轮材料，提升设备运行平稳性，延长部件使用寿命</t>
  </si>
  <si>
    <r>
      <rPr>
        <sz val="11"/>
        <color indexed="8"/>
        <rFont val="宋体"/>
        <charset val="134"/>
      </rPr>
      <t xml:space="preserve">本项目通过研发适配的新型吊挂轮材料并优化结构，精准解决传统轮体异响、不耐磨、易变形等问题，从运维成本、耗材消耗、设备管理、效率提升多维度实现经济价值，降本增效效果显著，具体如下：
</t>
    </r>
    <r>
      <rPr>
        <b/>
        <sz val="11"/>
        <color indexed="8"/>
        <rFont val="宋体"/>
        <charset val="134"/>
      </rPr>
      <t>大幅降低运维人工与更换成本：</t>
    </r>
    <r>
      <rPr>
        <sz val="11"/>
        <color indexed="8"/>
        <rFont val="宋体"/>
        <charset val="134"/>
      </rPr>
      <t xml:space="preserve">新型吊挂轮耐磨性、稳定性大幅提升，解决传统轮体易磨损、易故障问题，延长部件使用寿命，减少日常巡检、维修频次及轮体更换次数，直接节约运维人工成本与备件采购费用，避免频繁更换带来的重复资金投入。
</t>
    </r>
    <r>
      <rPr>
        <b/>
        <sz val="11"/>
        <color indexed="8"/>
        <rFont val="宋体"/>
        <charset val="134"/>
      </rPr>
      <t>控制材料与施工综合成本：</t>
    </r>
    <r>
      <rPr>
        <sz val="11"/>
        <color indexed="8"/>
        <rFont val="宋体"/>
        <charset val="134"/>
      </rPr>
      <t xml:space="preserve">玻纤增强尼龙相较高硬度浇筑聚氨酯更具价格优势，在保证性能达标的同时降低材料研发与生产制造成本；且轮体适配现有站台门结构，更换施工无需改造设备，减少施工人工与辅料消耗，进一步压缩施工成本。
</t>
    </r>
    <r>
      <rPr>
        <b/>
        <sz val="11"/>
        <color indexed="8"/>
        <rFont val="宋体"/>
        <charset val="134"/>
      </rPr>
      <t>降低设备关联故障损失：</t>
    </r>
    <r>
      <rPr>
        <sz val="11"/>
        <color indexed="8"/>
        <rFont val="宋体"/>
        <charset val="134"/>
      </rPr>
      <t xml:space="preserve">从根源解决轮体异响、变形问题，避免因轮体故障引发的站台门卡滞、运行不畅等设备连锁故障，减少设备故障导致的运营调整、部件二次维修等额外经济支出，保障站台门设备稳定运行，降低故障处置成本。
</t>
    </r>
    <r>
      <rPr>
        <b/>
        <sz val="11"/>
        <color indexed="8"/>
        <rFont val="宋体"/>
        <charset val="134"/>
      </rPr>
      <t>提升运营效率与资金使用效率：</t>
    </r>
    <r>
      <rPr>
        <sz val="11"/>
        <color indexed="8"/>
        <rFont val="宋体"/>
        <charset val="134"/>
      </rPr>
      <t>新型吊挂轮适配性强，可直接匹配现有站台门结构，无需大规模改造设备，节约设备改造成本；同时成熟的升级方案可快速在 3 号线全线及其他线路推广，形成规模化应用优势，降低后续线路升级的研发、适配成本，提升项目整体资金使用效率。</t>
    </r>
  </si>
  <si>
    <r>
      <rPr>
        <b/>
        <sz val="11"/>
        <color indexed="8"/>
        <rFont val="宋体"/>
        <charset val="134"/>
      </rPr>
      <t>一是</t>
    </r>
    <r>
      <rPr>
        <sz val="11"/>
        <color indexed="8"/>
        <rFont val="宋体"/>
        <charset val="134"/>
      </rPr>
      <t xml:space="preserve">大幅降低站台门运行异响，从根源优化地铁乘车环境，显著提升市民公共交通出行的舒适度与体验感。
</t>
    </r>
    <r>
      <rPr>
        <b/>
        <sz val="11"/>
        <color indexed="8"/>
        <rFont val="宋体"/>
        <charset val="134"/>
      </rPr>
      <t>二是</t>
    </r>
    <r>
      <rPr>
        <sz val="11"/>
        <color indexed="8"/>
        <rFont val="宋体"/>
        <charset val="134"/>
      </rPr>
      <t xml:space="preserve">轮体耐磨抗变形、尺寸稳定性强，有效减少站台门故障频次，避免设备问题引发的运营中断，保障地铁线路高效有序运行，提升城市公共交通整体运营效率。
</t>
    </r>
    <r>
      <rPr>
        <b/>
        <sz val="11"/>
        <color indexed="8"/>
        <rFont val="宋体"/>
        <charset val="134"/>
      </rPr>
      <t>三是</t>
    </r>
    <r>
      <rPr>
        <sz val="11"/>
        <color indexed="8"/>
        <rFont val="宋体"/>
        <charset val="134"/>
      </rPr>
      <t>部件全生命周期性能稳定，进一步筑牢地铁站台门设备运行安全防线，切实保障市民出行安全。四是形成可复制、可推广的站台门部件低成本升级方案，为城市轨道交通配套设施技术优化提供本土化参考，助力轨道交通行业高质量发展</t>
    </r>
  </si>
  <si>
    <t>生产技术部17</t>
  </si>
  <si>
    <t>2 号线车载信标天线减震装置</t>
  </si>
  <si>
    <t>2 号线车载信标天线长期处于高频振动环境，振动数据 31G×48ms 超出行业标准，导致信标天线及线缆射频接头磨损严重（故障占比达 82%），频繁出现丢信标问题，引发 VOBC 失去冗余、列车定位丢失，双端故障还会造成列车紧制，需限速或切除 ATP 行车，严重影响线路运营效率与安全；同时传统防护措施无法解决振动根源问题，亟需通过减震优化改造，降低设备振动幅度，减少接头磨损，提升设备运行可靠性，保障列车信标信息传输稳定。</t>
  </si>
  <si>
    <r>
      <rPr>
        <b/>
        <sz val="11"/>
        <color indexed="8"/>
        <rFont val="宋体"/>
        <charset val="134"/>
      </rPr>
      <t>现状检测与方案确定：</t>
    </r>
    <r>
      <rPr>
        <sz val="11"/>
        <color indexed="8"/>
        <rFont val="宋体"/>
        <charset val="134"/>
      </rPr>
      <t xml:space="preserve">联合厂家开展车载信标天线振动测试，明确振动超标为故障核心成因，调研行业成熟案例后，确定加装高阻尼橡胶减震器的改造方案，验证方案技术可行性与设备适配性。
</t>
    </r>
    <r>
      <rPr>
        <b/>
        <sz val="11"/>
        <color indexed="8"/>
        <rFont val="宋体"/>
        <charset val="134"/>
      </rPr>
      <t>专用减震设备采购：</t>
    </r>
    <r>
      <rPr>
        <sz val="11"/>
        <color indexed="8"/>
        <rFont val="宋体"/>
        <charset val="134"/>
      </rPr>
      <t xml:space="preserve">采购适配 2 号线信标天线的高阻尼橡胶减震装置 88 套，每套含 M10 合金钢螺栓、碳钢垫片及耐磨天然橡胶主副圈等配件，满足设备安装技术参数要求。
</t>
    </r>
    <r>
      <rPr>
        <b/>
        <sz val="11"/>
        <color indexed="8"/>
        <rFont val="宋体"/>
        <charset val="134"/>
      </rPr>
      <t>自主实施安装改造：</t>
    </r>
    <r>
      <rPr>
        <sz val="11"/>
        <color indexed="8"/>
        <rFont val="宋体"/>
        <charset val="134"/>
      </rPr>
      <t xml:space="preserve">按标准流程在既有信标天线上加装减震器，每台天线用 6 个 W12 型减震器套件固定，按原位置顺序安装，紧固扭矩控制在 75N・m，实现信标天线与安装座的橡胶弹性连接，减小振动传递。
</t>
    </r>
    <r>
      <rPr>
        <b/>
        <sz val="11"/>
        <color indexed="8"/>
        <rFont val="宋体"/>
        <charset val="134"/>
      </rPr>
      <t>全流程测试与验收：</t>
    </r>
    <r>
      <rPr>
        <sz val="11"/>
        <color indexed="8"/>
        <rFont val="宋体"/>
        <charset val="134"/>
      </rPr>
      <t>改造后开展振动测试、信标信息传输测试，验证振动幅度与设备功能达标；全程跟踪设备运行状态，检测接头磨损、丢信标情况，完成过程验收与竣工验收，确保改造效果。</t>
    </r>
  </si>
  <si>
    <r>
      <rPr>
        <b/>
        <sz val="11"/>
        <color indexed="8"/>
        <rFont val="宋体"/>
        <charset val="134"/>
      </rPr>
      <t>技术创新</t>
    </r>
    <r>
      <rPr>
        <sz val="11"/>
        <color indexed="8"/>
        <rFont val="宋体"/>
        <charset val="134"/>
      </rPr>
      <t xml:space="preserve">：针对振动超标这一核心故障成因，通过加装高阻尼橡胶减震器优化设备安装方式，从根源降低振动幅度，解决信标天线及接头磨损的本质问题。
</t>
    </r>
    <r>
      <rPr>
        <b/>
        <sz val="11"/>
        <color indexed="8"/>
        <rFont val="宋体"/>
        <charset val="134"/>
      </rPr>
      <t>结构创新：</t>
    </r>
    <r>
      <rPr>
        <sz val="11"/>
        <color indexed="8"/>
        <rFont val="宋体"/>
        <charset val="134"/>
      </rPr>
      <t>定制化选用适配 2 号线既有信标天线的减震器套件，改造前后系统原理不变，无需大规模改动设备，仅优化安装固定结构，实现低成本、高适配的技术改造，兼顾实用性与经济性。</t>
    </r>
  </si>
  <si>
    <t>1.硬件、线缆外观无破损、变形，出厂检验测试报告齐全，试运行和验收期间运行正常、信号设备功能正常。
2.加装信标天线减震器后振动频率减小，提供使用前后振动强度效果证明材料。
3.列车运行时与轨旁信标传输信息正常，对信息传输无干扰。</t>
  </si>
  <si>
    <t>1.降低设备更换成本：减震优化后大幅减少信标天线、中转电缆及射频接头的磨损，延长设备使用寿命，0预计每年减少设备备件采购费用约 8-10 万元。
2.节约运维人工成本：设备故障率大幅下降，减少日常巡检、故障维修、应急抢修的人工投入，按每次故障运维成本约 0.5 万元计算，每年节约运维人工成本约 3-5 万元。
3.减少运营损失：彻底解决丢信标导致的列车限速、紧制等问题，保障线路正常运营效率，避免因运营中断、行车调整产生的间接经济损失，每年减少相关损失约 10-15 万元。
4.节省外协施工成本：项目由内部团队自主实施，省去外协施工费 5.28 万元，直接降低项目实施成本，提升资金使用效率。</t>
  </si>
  <si>
    <r>
      <rPr>
        <b/>
        <sz val="11"/>
        <color indexed="8"/>
        <rFont val="宋体"/>
        <charset val="134"/>
      </rPr>
      <t>提升运营安全水平：</t>
    </r>
    <r>
      <rPr>
        <sz val="11"/>
        <color indexed="8"/>
        <rFont val="宋体"/>
        <charset val="134"/>
      </rPr>
      <t xml:space="preserve">改造后信标信息传输稳定，彻底解决丢信标引发的列车定位丢失、失去冗余等问题，消除列车紧制、限速行车的安全隐患，筑牢 2 号线列车运行的安全防线，保障市民出行安全。
</t>
    </r>
    <r>
      <rPr>
        <b/>
        <sz val="11"/>
        <color indexed="8"/>
        <rFont val="宋体"/>
        <charset val="134"/>
      </rPr>
      <t>提高线路运营效率：</t>
    </r>
    <r>
      <rPr>
        <sz val="11"/>
        <color indexed="8"/>
        <rFont val="宋体"/>
        <charset val="134"/>
      </rPr>
      <t xml:space="preserve">避免因设备故障导致的行车调整与运营中断，保障列车按标准速度正常运行，提升线路整体运输效率，为市民提供更顺畅、准时的地铁出行服务。
</t>
    </r>
    <r>
      <rPr>
        <b/>
        <sz val="11"/>
        <color indexed="8"/>
        <rFont val="宋体"/>
        <charset val="134"/>
      </rPr>
      <t>优化运维服务体系：</t>
    </r>
    <r>
      <rPr>
        <sz val="11"/>
        <color indexed="8"/>
        <rFont val="宋体"/>
        <charset val="134"/>
      </rPr>
      <t xml:space="preserve">设备故障率大幅降低，让运维资源从频繁的故障抢修转向核心安全保障与预防性维护，提升地铁运维精细化、专业化水平，推动运营服务质量升级。
</t>
    </r>
    <r>
      <rPr>
        <b/>
        <sz val="11"/>
        <color indexed="8"/>
        <rFont val="宋体"/>
        <charset val="134"/>
      </rPr>
      <t>形成行业示范经验：</t>
    </r>
    <r>
      <rPr>
        <sz val="11"/>
        <color indexed="8"/>
        <rFont val="宋体"/>
        <charset val="134"/>
      </rPr>
      <t>针对同系统设备振动故障形成了低成本、易推广、效果佳的减震优化改造方案，为国内其他城市地铁同类型设备故障解决提供可复制、可借鉴的实操经验，助力城市轨道交通行业技术优化与运维升级。</t>
    </r>
  </si>
  <si>
    <t>生产技术部18</t>
  </si>
  <si>
    <t>2、3、蓝谷快线信号电源系统双UPS双母线改造项目</t>
  </si>
  <si>
    <t>青岛地铁 既有线路（出6号线）控制中心、设备集中站信号电源系统现采用单 UPS、单母线供电模式，无冗余设计，曾多次因 UPS 故障导致信号设备全掉电，引发行车事件，严重影响运营安全；且现有模式不符合交通运输部《城市轨道交通信号系统运营技术规范》中双 UPS、双母线的硬性设计要求。亟需通过技术改造搭建冗余供电体系，解决电源系统无备份、故障率高、合规性不足等问题，保障信号设备供电稳定，筑牢行车安全供电防线。</t>
  </si>
  <si>
    <t>本项目对2号线6个设备集中站及1个控制中心、3号线1个控制中心蓝谷快线8个设备集中站及1个控制中心，共计23个设备集中站 +，3个控制中心进行双UPS双母线改造，考虑公司降低本增效，不再对行车影响较小的非集中站及场段进行改造。</t>
  </si>
  <si>
    <r>
      <rPr>
        <b/>
        <sz val="11"/>
        <color indexed="8"/>
        <rFont val="宋体"/>
        <charset val="134"/>
      </rPr>
      <t>原位增配冗余架构：</t>
    </r>
    <r>
      <rPr>
        <sz val="11"/>
        <color indexed="8"/>
        <rFont val="宋体"/>
        <charset val="134"/>
      </rPr>
      <t xml:space="preserve">不拆除现有电源设备，仅在其基础上增加 1 套 UPS、稳压器、蓄电池、切换屏及相关电源模块，直接搭建双 UPS、双母线配置，最大化利旧既有设备，避免资源浪费，实现供电冗余的轻量化、低成本升级。
</t>
    </r>
    <r>
      <rPr>
        <b/>
        <sz val="11"/>
        <color indexed="8"/>
        <rFont val="宋体"/>
        <charset val="134"/>
      </rPr>
      <t>全维度兼容适配：</t>
    </r>
    <r>
      <rPr>
        <sz val="11"/>
        <color indexed="8"/>
        <rFont val="宋体"/>
        <charset val="134"/>
      </rPr>
      <t xml:space="preserve">精准设计新增设备参数，确保其与既有 UPS 完全互通互用，且新增设备软件与既有系统深度兼容，改造不改变原有系统原理，实现新旧设备无缝衔接、协同运行，大幅降低改造适配风险与对现有系统的干扰。
</t>
    </r>
    <r>
      <rPr>
        <b/>
        <sz val="11"/>
        <color indexed="8"/>
        <rFont val="宋体"/>
        <charset val="134"/>
      </rPr>
      <t>双路互备安全升级</t>
    </r>
    <r>
      <rPr>
        <sz val="11"/>
        <color indexed="8"/>
        <rFont val="宋体"/>
        <charset val="134"/>
      </rPr>
      <t>：通过增配核心冗余设施形成双 UPS、双母线供电结构，实现两路电源独立供电、互相备份，从硬件架构上彻底解决单 UPS 单母线无备份的弊端，杜绝单设备故障引发的信号设备全掉电问题，大幅提升供电可靠性与容错能力。</t>
    </r>
  </si>
  <si>
    <r>
      <rPr>
        <b/>
        <sz val="11"/>
        <color indexed="8"/>
        <rFont val="宋体"/>
        <charset val="134"/>
      </rPr>
      <t>1.硬件安装验收</t>
    </r>
    <r>
      <rPr>
        <sz val="11"/>
        <color indexed="8"/>
        <rFont val="宋体"/>
        <charset val="134"/>
      </rPr>
      <t>：新增 UPS、稳压器、蓄电池、切换屏及电源模块等设备安装固定牢固，无松动、变形，配线采用低烟无卤线缆，接线端子压接牢固、标识清晰，无虚接错接；蓄电池排列整齐、连接规范，电池架接地到位；所有安装附件规格匹配，设备出厂合格证、检验报告等资料齐全完整。
2.</t>
    </r>
    <r>
      <rPr>
        <b/>
        <sz val="11"/>
        <color indexed="8"/>
        <rFont val="宋体"/>
        <charset val="134"/>
      </rPr>
      <t>设备兼容互通验收：</t>
    </r>
    <r>
      <rPr>
        <sz val="11"/>
        <color indexed="8"/>
        <rFont val="宋体"/>
        <charset val="134"/>
      </rPr>
      <t>新增 UPS 与既有 UPS 实现互通互用，支持主备自动 / 手动切换；新增设备软件与既有系统完全兼容，无冲突、无数据异常，可纳入既有系统统一管理，原有系统功能保持正常，新旧设备协同运行无干扰。
3.</t>
    </r>
    <r>
      <rPr>
        <b/>
        <sz val="11"/>
        <color indexed="8"/>
        <rFont val="宋体"/>
        <charset val="134"/>
      </rPr>
      <t>双母线系统功能验收：</t>
    </r>
    <r>
      <rPr>
        <sz val="11"/>
        <color indexed="8"/>
        <rFont val="宋体"/>
        <charset val="134"/>
      </rPr>
      <t>双 UPS、双母线供电架构运行正常，两路电源独立供电、互相备份，单路设备故障时切换无供电中断，切换屏交流输出切换时间、直流并联无间断供电均符合技术规格书要求，系统过压、欠压、过载等保护功能有效。
4.</t>
    </r>
    <r>
      <rPr>
        <b/>
        <sz val="11"/>
        <color indexed="8"/>
        <rFont val="宋体"/>
        <charset val="134"/>
      </rPr>
      <t>运行参数验收：</t>
    </r>
    <r>
      <rPr>
        <sz val="11"/>
        <color indexed="8"/>
        <rFont val="宋体"/>
        <charset val="134"/>
      </rPr>
      <t>新增及既有设备输入输出电压、频率、电流等参数符合设计标准，UPS 整机效率≥85%，设备运行音响杂音≤55dB；蓄电池电压、内阻、温度等指标正常，电池巡检仪采集数据精准，无偏差漏测。
5.</t>
    </r>
    <r>
      <rPr>
        <b/>
        <sz val="11"/>
        <color indexed="8"/>
        <rFont val="宋体"/>
        <charset val="134"/>
      </rPr>
      <t>监测接入验收：</t>
    </r>
    <r>
      <rPr>
        <sz val="11"/>
        <color indexed="8"/>
        <rFont val="宋体"/>
        <charset val="134"/>
      </rPr>
      <t>改造后电源系统信息成功接入既有信号监测系统，可实时上传设备运行参数、状态及告警信息，监测数据准确、传输稳定，具备历史数据查询、故障声光告警功能，满足远程监控运维要求。</t>
    </r>
  </si>
  <si>
    <r>
      <rPr>
        <sz val="11"/>
        <color indexed="8"/>
        <rFont val="宋体"/>
        <charset val="134"/>
      </rPr>
      <t xml:space="preserve">
1.</t>
    </r>
    <r>
      <rPr>
        <b/>
        <sz val="11"/>
        <color indexed="8"/>
        <rFont val="宋体"/>
        <charset val="134"/>
      </rPr>
      <t>降低故障处置成本</t>
    </r>
    <r>
      <rPr>
        <sz val="11"/>
        <color indexed="8"/>
        <rFont val="宋体"/>
        <charset val="134"/>
      </rPr>
      <t>：彻底解决单 UPS 故障导致的供电中断问题，避免信号设备掉电引发的行车调整、应急抢修等费用，按历史故障案例测算，每年减少故障直接处置成本约 200-300 万元。
2.</t>
    </r>
    <r>
      <rPr>
        <b/>
        <sz val="11"/>
        <color indexed="8"/>
        <rFont val="宋体"/>
        <charset val="134"/>
      </rPr>
      <t>节约设备运维成本：</t>
    </r>
    <r>
      <rPr>
        <sz val="11"/>
        <color indexed="8"/>
        <rFont val="宋体"/>
        <charset val="134"/>
      </rPr>
      <t>冗余体系大幅降低电源设备故障率，减少 UPS、蓄电池、电源屏等设备的巡检、维修与更换频次，每年节约设备运维及备件采购费用约 150-200 万元。
3.</t>
    </r>
    <r>
      <rPr>
        <b/>
        <sz val="11"/>
        <color indexed="8"/>
        <rFont val="宋体"/>
        <charset val="134"/>
      </rPr>
      <t>减少运营间接损失</t>
    </r>
    <r>
      <rPr>
        <sz val="11"/>
        <color indexed="8"/>
        <rFont val="宋体"/>
        <charset val="134"/>
      </rPr>
      <t>：避免因供电故障导致的列车紧制、限速行驶、运营中断等问题，保障线路运输效率，每年减少运营收入损失及客诉补偿等间接成本约 300-400 万元。
4.</t>
    </r>
    <r>
      <rPr>
        <b/>
        <sz val="11"/>
        <color indexed="8"/>
        <rFont val="宋体"/>
        <charset val="134"/>
      </rPr>
      <t>提升资金使用效率：</t>
    </r>
    <r>
      <rPr>
        <sz val="11"/>
        <color indexed="8"/>
        <rFont val="宋体"/>
        <charset val="134"/>
      </rPr>
      <t>通过设备统型、利旧库存、低价采购等方式，单站改造成本较行业平均水平降低约 30%，且分阶段实施减少资金一次性投入压力；改造后设备使用寿命延长，大幅提升资产使用效率。</t>
    </r>
  </si>
  <si>
    <r>
      <rPr>
        <b/>
        <sz val="11"/>
        <color indexed="8"/>
        <rFont val="宋体"/>
        <charset val="134"/>
      </rPr>
      <t>筑牢运营安全防线：</t>
    </r>
    <r>
      <rPr>
        <sz val="11"/>
        <color indexed="8"/>
        <rFont val="宋体"/>
        <charset val="134"/>
      </rPr>
      <t xml:space="preserve">双 UPS 双母线冗余供电体系从根本上杜绝电源单故障导致的信号设备失电问题，保障 ATS、ATP、ATO 等核心信号设备稳定运行，避免行车安全隐患，切实保障市民地铁出行安全。
</t>
    </r>
    <r>
      <rPr>
        <b/>
        <sz val="11"/>
        <color indexed="8"/>
        <rFont val="宋体"/>
        <charset val="134"/>
      </rPr>
      <t>提升线路运营效率：</t>
    </r>
    <r>
      <rPr>
        <sz val="11"/>
        <color indexed="8"/>
        <rFont val="宋体"/>
        <charset val="134"/>
      </rPr>
      <t>彻底解决因供电故障引发的列车紧制、限速、运营中断等问题，保障各线路按计划正常运行，提升列车准点率与线路运输能力，为市民提供更顺畅、准时的公共交通服务。</t>
    </r>
    <r>
      <rPr>
        <b/>
        <sz val="11"/>
        <color indexed="8"/>
        <rFont val="宋体"/>
        <charset val="134"/>
      </rPr>
      <t xml:space="preserve">
践行行业规范要求：</t>
    </r>
    <r>
      <rPr>
        <sz val="11"/>
        <color indexed="8"/>
        <rFont val="宋体"/>
        <charset val="134"/>
      </rPr>
      <t xml:space="preserve">严格落实国家交通运输部信号电源系统设计规范，成为城市轨道交通信号电源合规化改造的标杆案例，为行业内同类项目改造提供合规化落地参考。
</t>
    </r>
    <r>
      <rPr>
        <b/>
        <sz val="11"/>
        <color indexed="8"/>
        <rFont val="宋体"/>
        <charset val="134"/>
      </rPr>
      <t>优化城市公共服务：</t>
    </r>
    <r>
      <rPr>
        <sz val="11"/>
        <color indexed="8"/>
        <rFont val="宋体"/>
        <charset val="134"/>
      </rPr>
      <t>作为城市核心公共交通，地铁供电稳定性的提升直接优化城市公共交通服务质量，助力青岛打造安全、高效、便捷的城市公共交通体系，提升城市综合服务能力与市</t>
    </r>
    <r>
      <rPr>
        <b/>
        <sz val="11"/>
        <color indexed="8"/>
        <rFont val="宋体"/>
        <charset val="134"/>
      </rPr>
      <t>民出行幸福感。
形成行业推广经验：</t>
    </r>
    <r>
      <rPr>
        <sz val="11"/>
        <color indexed="8"/>
        <rFont val="宋体"/>
        <charset val="134"/>
      </rPr>
      <t>结合多线路、多工况实际打造的信号电源双 UPS 双母线改造方案，兼具合规性、实用性与经济性，为国内其他城市地铁多线路电源系统升级改造提供可复制、可落地的实操经验，推动行业技术进步。</t>
    </r>
  </si>
  <si>
    <t>自动化中心85%</t>
  </si>
  <si>
    <t>北城院15%</t>
  </si>
  <si>
    <t>生产技术部19</t>
  </si>
  <si>
    <t>站台门照明灯带节能优化项目</t>
  </si>
  <si>
    <t>进行中</t>
  </si>
  <si>
    <t>部分早期开通运行线路站台门照明灯带纳入站台门供电系统，从站台门控制室内双电源切换箱引入电源进行供电，由于站台门电源属于一级负荷24小时不切断电源，因此照明灯带亦保持24小时常亮，造成非运营期间的能耗浪费，近年专业深挖设备节能潜力，通过在照明灯带电源回路加装时控器、接触器的形式实现照明灯带的定时开关，但定时开关时间受延时运营、交叉换乘等影响导致各站关闭时间预留一定的冗余量，造成一定的能耗浪费。</t>
  </si>
  <si>
    <t>本项目拟对现从属于站台门专业管辖的照明灯带开关情况进行摸排，一是明确照明灯带与站台公共照明对于站台门区域的照度影响，明确站台门照明灯带直接关闭的可行性；二是优化站台门开关时间，依据线路、车站运行时间实现照明灯带的差异化开关；三是研究站台门照明灯带接入BAS系统的可行性，使其接入车站运行模式，完美契合车站运行实际。</t>
  </si>
  <si>
    <t>设备运行模式创新，研究打破专业间设备控制逻辑壁垒，将站台门部分设备控制权限转嫁至自动化专业，通过更加高效的模式运行提升设备节能效率。</t>
  </si>
  <si>
    <t>形成可行性研究报告</t>
  </si>
  <si>
    <t>实现照明灯带的节能优化，实现节能降耗目标。</t>
  </si>
  <si>
    <t>助力公司低碳绿色可持续发展。</t>
  </si>
  <si>
    <t>自动化中心
100%</t>
  </si>
  <si>
    <t>生产技术部20</t>
  </si>
  <si>
    <t>既有线TACS系统改造方案优化创新研究</t>
  </si>
  <si>
    <t>以3号线为例，已完成现有信号系统（联锁、ATS、车载等设备）技术参数摸排，梳理TACS系统改造核心需求，初步形成3套差异化改造方案</t>
  </si>
  <si>
    <t>1.现有信号系统与TACS系统兼容性不足，直接改造易出现数据交互断层、控制指令延迟等问题，影响行车安全；2.传统全系统替换方案成本高、工期长，可能与线路正常运营需求冲突；3.改造后系统需适配3号线既有车辆、轨道区段及运营调度模式，现有方案缺乏针对性适配设计，存在功能冗余或缺失风险</t>
  </si>
  <si>
    <t>中心通过调研行业内应用的TACS系统及相关更新改造项目，一是完成3号线既有信号设备（联锁机、车载ATP、地面应答器）技术参数、设备使用年限等参数摸排，明确改造约束条件；二是针对不同厂家的TACS系统，细化每套方案适配3号线改造的设备清单、改造范围及施工周期，测算全周期成本；三是从兼容性、经济性、可行性三个维度开展对比分析；四是给出适配性建议，针对最优方案，研究既有车辆车载设备改造细节、地面设备接口调试方法，制定分时段施工计划，降低对运营的影响。</t>
  </si>
  <si>
    <t>1.突破“全替换”传统改造思路，提出“核心模块升级+分步迭代”差异化方案，平衡改造效果与运营、成本需求；
2.适配性技术创新：研究既有信号设备与TACS系统的利旧方案最优解，无需更换全部老旧设备；
3.实施模式创新：结合线路运营规律，设计“夜间窗口期施工+高峰前测试”的分时段改造模式，实现改造与运营“零冲突”</t>
  </si>
  <si>
    <t>完成方案分析研究报告</t>
  </si>
  <si>
    <t>保障3号线正常运营，避免市民出行受影响；改造后提升系统行车调度效率，为城市轨道交通老线信号系统改造提供“低成本、低干扰”的可复制技术方案</t>
  </si>
  <si>
    <t>自主化替代技术
绿色综合技术
智慧综合技术
设备设施融合提升技术</t>
  </si>
  <si>
    <t>生产技术部21</t>
  </si>
  <si>
    <t>青岛地铁线网各类运行等级能耗与运营匹配性研究</t>
  </si>
  <si>
    <t>正在开展线网各种模式标尺绘制运行图能耗收集</t>
  </si>
  <si>
    <t>研究线网各类运行等级下的能耗关系，建立区间级能耗数据库,研究运行等级组合优化策略，实现单线路能耗降低≥3%，时长增加≤5%，预计可在不增加或较少增加运行时长的情况下，实现列车ATO牵引能耗的降低。</t>
  </si>
  <si>
    <t>线网部分线路有多种运营等级，每个区间不同运营等级匹配对应的时间和能耗，目前线网部分线路（1/2/4/8）未使用最节能的运营等级，能耗较高。
1.数据采集阶段：采集 1/2/4/8 号线各区间不同运行等级下的运行时间和牵引能耗数据；
2.模型构建阶段：基于现有线路总运行时间，通过调整各区间运行时长，运行等级，在不增加或较少增加运行时长的情况下，以低能耗运行等级完成运营，实现列车牵引能耗的降低。
3.实施阶段：将线路等级优化方案纳入运行图，在线路上试点验证，监测优化方案的节能效果。</t>
  </si>
  <si>
    <t xml:space="preserve">1.突破传统整体能耗分析模式，建立 “区间级”能耗-时间关联的多变量耦合分析模型，实现每区间能耗特性的精准刻画。
2.动态组合优化算法，首创“能耗 - 时长”双目标优化算法，在≤5% 时长增加约束下，实现能耗降低最大化，解决线网多线路差异化运营的节能适配问题。
</t>
  </si>
  <si>
    <t>1.完成多种运行模式标尺下，各区间的能耗数据收集记录。
2.基于现有运行时间，完成一套降低牵引能耗的组合运行图标尺并在部分线路（1/2/4/8）上线使用。
3.测试记录调整前后能耗数据对比，形成相关研究报告。</t>
  </si>
  <si>
    <t>预计运行等组合节能优化后，单日能耗可节约3% ，单线路年度可节约电费约30万元。</t>
  </si>
  <si>
    <t>1.实现 “节能不降效”，形成的运营等级组合优化方法论可复制至其他线路和地铁，推动行业绿色转型。
2.单线路每年预计减少二氧化碳排放约270吨，为建设世界一流地铁助力。</t>
  </si>
  <si>
    <t>绿色综合技术</t>
  </si>
  <si>
    <t>生产技术部22</t>
  </si>
  <si>
    <t>全域数据贯通・智能场景联动 —TACS系统实现多系统协同联动</t>
  </si>
  <si>
    <t>TACS系统是地铁运营管理的核心系统，负责实时监控列车运行状态、信号系统状态、乘客信息等以确保列车安全、高效地运行。在复杂多变的运营环境下，TACS系统与各系统间未实现全数据互通，难以满足运营场景应用需求，影响运营生产及应急处置效率。</t>
  </si>
  <si>
    <r>
      <rPr>
        <sz val="11"/>
        <rFont val="宋体"/>
        <charset val="134"/>
      </rPr>
      <t>通过分析6号线生产运作中运输、调度、服务等工作场景、运作流程中存在的问题，拓宽ATS与机电、供电、车辆专业设备数据通信通道，挖掘综合监控、电力监控、车辆辅助控制等相关数据信息，</t>
    </r>
    <r>
      <rPr>
        <b/>
        <sz val="11"/>
        <color indexed="8"/>
        <rFont val="宋体"/>
        <charset val="134"/>
      </rPr>
      <t>在线网首次提出多系统场景联动，</t>
    </r>
    <r>
      <rPr>
        <sz val="11"/>
        <color indexed="8"/>
        <rFont val="宋体"/>
        <charset val="134"/>
      </rPr>
      <t>并形成实施方案，实现TACS系统与其他生产系统数据全量打通，探索更智能、更高效的运维策略，实现故障情况下的快速响应和智能处置。</t>
    </r>
  </si>
  <si>
    <t>1.增加车灯故障联动区间照明等特殊运营场景的应急处置；
2.吸取北京昌平线事故经验增加区间停车联动后续站台扣车功能。</t>
  </si>
  <si>
    <t>完成场景联动功能测试。</t>
  </si>
  <si>
    <t>本项目落地可为实现取消区间照明做出有效支撑；若取消区间照明后，以6号线为例，可助力公司节电5100度/月。</t>
  </si>
  <si>
    <t>1.TACS系统与其他生产系统联动场景实现故障快速处置及响应，更好的保障行车安全；
2.实现由人工确认向自动控制转变，工作效率较人工确认同期提升50%以上，有效提升了乘客服务可靠度。</t>
  </si>
  <si>
    <t>自动化中心70%</t>
  </si>
  <si>
    <t>四方股份10%、青岛海信10%、青岛富欣城轨科技有限公司10%</t>
  </si>
  <si>
    <t>信号一部1</t>
  </si>
  <si>
    <t>自主感知系统设备的研究与应用</t>
  </si>
  <si>
    <t>为提升TACS的市场竞争力；通过研究自主感知系统，减少轨旁设备（计轴、应答器），降低前期工程投资与既有线改造的施工难度、缩短改造周期；同时减少现场维护人员配置，降低设备检修运维工作量，实现全生命周期降本增效。</t>
  </si>
  <si>
    <t>为了验证自主感知系统的可行性，利用青岛6号线青岛九中站-横云山路站区间与0603车车载设备开展现场测试，通过使用多传感器集成的车载独立测速定位系统，实现列车全是自主定位，并具有主动障碍物识别、判定能力，实现主动安全防护，进一步提升TACS自主感知能力，完成TACS系统的优化。</t>
  </si>
  <si>
    <t>1.使列车更具身智能，有助于实现列车的全自主运行控制；
2.通过使用自主感知设备，减少轨旁设备的安装应用，降低维护成本。</t>
  </si>
  <si>
    <t>完成自主感知设备的安装调试工作</t>
  </si>
  <si>
    <t>1.取消计轴设备，减少设备投资，以6号线为例，若安装自主感知设备，全线可节省计轴设备投资约3000W；
2.因自主感知设备轨旁为无源标识牌，故取消计轴设备后可减低设备用电，助力公司节能；
3.自主感知设备轨旁设备仅需对紧固情况进行检修，减少人员检修工作，实现降本增效。</t>
  </si>
  <si>
    <t>自主感知系统可以使TACS系统更智能，为行业内后续TACS改造项目提供技术支撑。</t>
  </si>
  <si>
    <t>自动化中心30%</t>
  </si>
  <si>
    <t>青岛富欣城轨科技有限公司、上海富欣智能交通控制有限公司70%</t>
  </si>
  <si>
    <t>自主化替代技术</t>
  </si>
  <si>
    <t>信号一部2</t>
  </si>
  <si>
    <t>冗余衡压接点的研究与应用</t>
  </si>
  <si>
    <t>道岔作为行车关键设备，其接点组性能直接影响行车安全与设备稳定运行。目前青岛地铁在用接点组均为普通接点，无冗余结构，全电子道岔模块采用光电耦合器采集，相较传统继电器对电压稳定性要求更为严苛，随着全电子系统的推广应用，对接点组的可靠性也提出了更高要求。为提升接点组适配性能与设备运行可靠性，针对行业内道岔接点组应用情况开展专项研究与调研。</t>
  </si>
  <si>
    <t>折返道岔日均动作达100次，对接点组性能要求更高。为提升道岔运行稳定性及接点组与全电子模块的电气匹配性，计划对全线转辙机普通动静接点组实施改造，更换为冗余衡压接点组，提升6号线道岔设备运行稳定性与可靠性。</t>
  </si>
  <si>
    <t>1.针对当前在用普通接点无冗余结构的现状，开展冗余衡压接点研究，可有效提升全电子道岔模块及接点组的运行稳定性。
2.将现有普通接点组替换为冗余衡压接点组，可与全电子模块实现更好适配，解决接点压力不平衡、接触不稳定及无冗余结构等问题。
3.推广至三期全电子后续应用，提高道岔设备运行稳定性</t>
  </si>
  <si>
    <t>完成全线冗余衡压接点组更换</t>
  </si>
  <si>
    <t>采用冗余衡压接点，冗余衡压接点使用寿命提升至70万次，更换周期延长至4年，较普通接点（10万次、2年一换）大幅降低更换频次，按6号线全线910套接点测算，4年周期内可节约总成本13.1万元，全生命周期综合经济效益显著。</t>
  </si>
  <si>
    <t>采用冗余衡压接点组改造后从源头上减少因道岔接点接触不良引发的道岔失表等信号故障发生率，为线路全自动运行系统提供更加稳定可靠的设备保障。</t>
  </si>
  <si>
    <t>信号一部3</t>
  </si>
  <si>
    <t>1号线Netbox改造</t>
  </si>
  <si>
    <r>
      <rPr>
        <sz val="11"/>
        <rFont val="宋体"/>
        <charset val="134"/>
      </rPr>
      <t>切换优化：</t>
    </r>
    <r>
      <rPr>
        <sz val="11"/>
        <color indexed="8"/>
        <rFont val="宋体"/>
        <charset val="134"/>
      </rPr>
      <t xml:space="preserve">第一代的Netbox在网络切换的工作原理存在缺陷，在红蓝网切换的过程中会导致彻底通信中断，进而造成列车紧制。优化后整车同时接入红蓝网，单端出现问题不会影响列车正常运行。
</t>
    </r>
    <r>
      <rPr>
        <b/>
        <sz val="11"/>
        <color indexed="8"/>
        <rFont val="宋体"/>
        <charset val="134"/>
      </rPr>
      <t>接入优化：</t>
    </r>
    <r>
      <rPr>
        <sz val="11"/>
        <color indexed="8"/>
        <rFont val="宋体"/>
        <charset val="134"/>
      </rPr>
      <t>由单端接入双网变为单端接入单网，优化网络接入通道。
检测机制优化：由之前不检测入网情况变为检测入网情况，若未成功入网，则进行自重启。</t>
    </r>
  </si>
  <si>
    <t>在现有设备框架的基础上，不改变外观及连接方式，对1号线在用列车的两端Netbox进行硬件更换升级，软件的逻辑及检测机制优化，来提高1号线车地通信的可靠稳定高效。</t>
  </si>
  <si>
    <t>新版软硬件在启动阶段可自动实现入网检测功能，若未成功入网，可实现软硬件自重启。其中自重启可实现自动断电，进而提升设备入网成功率。</t>
  </si>
  <si>
    <t>计划2026年12月1日前完成</t>
  </si>
  <si>
    <t>完成1号线所有列车的设备更换</t>
  </si>
  <si>
    <t>能够显著减少1号线因车地通信故障导致的列车晚点、停运等事件，保障列车运行安全、准点率和运营效率。改善乘客体验，列车运行更加平稳，减少因紧制产生的乘坐不适感。</t>
  </si>
  <si>
    <t>卡斯柯信号有限公司30%</t>
  </si>
  <si>
    <t>信号一部4</t>
  </si>
  <si>
    <t>便携式断相保护器测试装置的研究与应用</t>
  </si>
  <si>
    <t>提报科研项目</t>
  </si>
  <si>
    <t>断相保护器作为转辙机动作电路的核心组成部分，对转辙机的正常运行起着至关重要的作用。转辙机是道岔控制系统的执行机构，其动作的准确性和可靠性直接关系到列车的运行安全。而断相保护器能够实时监测转辙机动作电路的三相电源，一旦发生断相故障，迅速切断电路，防止转辙机因缺相运行而损坏，避免由此引发的列车运行事故。
断相保护器主要用于监测三相电源的完整性，防止因某一相断电导致设备损坏或信号异常。同时，断相保护器自身具备故障自检与输出保护功能，当其自身发生故障时，会停止输出DC24V电压至保护继电器，直接切断道岔控制回路，阻止道岔错误动作，从源头防范安全风险。如果断相保护器发生故障可能造成道岔控制失效、信号灯异常、电机过载烧毁、电源系统连锁故障，增大列车运行安全隐患。
自制断相保护器测试台，旨在解决断相保护器自主检测维修，确保故障及时发现和处理，降低设备运行风险，提高故障处置能力和系统整体可靠性。 本项目针对断相保护器无测试设备、无统一检测标准、便携性不足等痛点，研发便携式断相保护器测试装置。</t>
  </si>
  <si>
    <t>本项目针对断相保护器现场无测试设备、无统一检测标准、便携性不足等痛点，研发便携式断相保护器测试装置，装置集成多参数检测模块，可精准测试保护器电压、电流、保护响应时间等核心指标，采用夹钳式检测设计，且体积小、易携带。该装置可满足地铁领域现场快速检测需求，提升断相保护器检测效率与准确性，降低设备故障风险，为信号系统安全稳定运行提供技术保障。</t>
  </si>
  <si>
    <t>该测试装置能够实现电气参数测试（电压、电流、线圈压降），时间特性测试 （启动响应时间测试、断相响应时间测试和延时保持时间试测），断相模拟，负载调节，安全保护（急停按钮、空气开关）功能，共计5项功能，功能实现率达到100%。
通过对断相保护器电气特性、测试原理的研究，三相调压器、功率电阻、接触器等可构成主回路调压和负载系统。自动量程三相电表（电压/电流）、直流电压表、秒表等仪表满足铁标要求的参数显示和时间特性测试功能。继电器、按钮开关、急停按钮等控制元件可实现通断控制和安全保护功能，符合测试台的操作逻辑。</t>
  </si>
  <si>
    <t>全部完成</t>
  </si>
  <si>
    <t>测试台制作完成后，对该测试台的各种功能进行多次测试，能够可靠地实现电气参数测试（电压、电流、线圈压降），时间特性测试 （启动响应时间测试、断相响应时间测试和延时保持时间测试），断相模拟，负载调节，安全保护（急停按钮、空气开关）功能，共计5项功能，功能实现率达到100%。</t>
  </si>
  <si>
    <t>断相保护器检测的整套相关设备，西安华信铁路信号有限公司与陕西正信铁路器材有限公司分别报价12.5万元、9.8万元，价格较高。经调研，断相保护器送外检测单台费用约650 元，送外检测将产生较高运维成本。自动化中心信号二部根据断相保护器工作及测试原理，自主研制便携式断相保护器测试台，成本合计10000元，较外公司最低报价可节约成本8.8万元，投资回报周期短，同时节省送外检测费用，进一步降低设备运维支出。</t>
  </si>
  <si>
    <t>1.该装置首先补足了公司在断相保护器检测方面的空白，彻底改变了以往无专用检测设备的现状。
2.该装置大幅提升断相保护器的检测效率，其体积小、易携带的特点的结合精准检测电压、电流等核心指标的能力，可快速排查断相保护器故障隐患，有效避免因保护器故障导致的道岔控制异常，道岔失表故障，保障道岔设备稳定运行。高效的检测能力有效提升道岔故障处置效率，从而保障生产指标，保障列车安全、准点运行。</t>
  </si>
  <si>
    <t xml:space="preserve">
自主化替代技术
</t>
  </si>
  <si>
    <t>信号二部1</t>
  </si>
  <si>
    <t>青岛地铁2、4、蓝谷快线信号楼与DCC融合改造项目</t>
  </si>
  <si>
    <t>正在开展</t>
  </si>
  <si>
    <t>为积极响应公司“降本增效”的总体号召，深入贯彻落实车厂值班员与厂调岗位一体化融合、优化人员配置的战略部署，赋能车厂运营组织架构深度优化与生产效能提升，解决 2、4、蓝谷快线车辆段信号楼与DCC不同地址作业、距离远、厂调和车厂值班员沟通不便、人力成本高的问题，实现设备布局与生产指挥场景的深度融合，为岗位融合、精简人员配置创造坚实的物理与设备集成基础。</t>
  </si>
  <si>
    <t>1. 将2号线、4号线、蓝谷快线各车辆段信号楼资源整合与设备复用，将联锁工作站、显示终端、操作控制台实施终端集成，统一部署至对应运用库 DCC 指定区域；                                           2.线缆敷设与接口调试：敷设必要的电源及通信线缆，完成新址设备的安装、联调与测试，确保系统功能完整、稳定。</t>
  </si>
  <si>
    <t>以物理空间融合为核心，打通岗位协同壁垒，支撑运营组织架构深度优化，实现“信号楼值班员”与“DCC调度员”岗位的物理与职能融合。</t>
  </si>
  <si>
    <t>1. 完成三条线路全部设备搬迁、供电改造、线缆敷设与全系统调试；                     2.项目通过竣工验收，实现信号楼与 DCC 同址办公、岗位协同落地。</t>
  </si>
  <si>
    <t>1.所有设备安装稳固，线缆敷设整齐，标识清晰、准确，接线牢固，绝缘性能良好。
2.联锁工作站所有测试项目功能正常，结果符合预期，与室外设备状态一致，操作响应无误。
3. 系统试运行期间未发生因本次改造导致的故障或中断，各相关岗位确认设备可使用性。</t>
  </si>
  <si>
    <t>1. 支撑岗位融合，优化人员配置，完成融合后乘务部车厂值班员编制可减少8人，人工成本按10万/人/年核算，将节省人工成本80万元/年。</t>
  </si>
  <si>
    <t>1. 全面提升地铁车厂运营安全管控水平，有效降低作业安全风险，实现车厂值班员与厂调现场高效协同沟通，保障作业调度精准零失误，应急处置更加快速、规范、安全；
2. 优化岗位结构，提升员工一岗多能能力，优化人员配置，实现人力资源高效集约利用，推动岗位协同一体化。</t>
  </si>
  <si>
    <t>信号二部2</t>
  </si>
  <si>
    <t>4号线自动折返按钮技术改造项目</t>
  </si>
  <si>
    <t>一是技术层面提升设备稳定性，目前除4号线外自动折返按钮均使用按压式按钮，4号线为旋转式旋钮，解决老式旋钮易出现因锁芯物理形变导致故障的问题，经统计，近两年内共发生5起故障，故障率较高，此次改造能够有效解决故障率较高的问题。二是提升冗余性，解决现有单自动折返按钮故障时，导致无法使用自动折返按钮进行折返操作的问题；三是提升备件通用性，节约成本，该新式折返按钮采用信号紧停按钮按压模块与原自动折返按钮触发模块，改造完成后，新式折返按钮与信号紧停按钮只需更换尾端的触发模块，即可备件通用，节约成本。</t>
  </si>
  <si>
    <t>基于既有自动折返按钮故障根源分析，开展新型自动折返按钮及控制电路专项研发，创新优化按钮接通方式，将原有旋钮式结构升级为按压式，提升电路接通稳定性；同步优化控制电路设计，创新采用双按钮并联方式为折返继电器线圈供电，规避单个按钮故障引发的自动折返失效问题。同时，结合列车自动折返全工作流程及过往故障案例，深挖电路薄弱环节与优化空间，配套制定新型按钮标准化安装工艺，提升现场安装效率与施工质量，明确后期常态化检修维护要求，以此延长设备使用寿命、降低故障发生率。</t>
  </si>
  <si>
    <t xml:space="preserve">1.电路冗余设计
2.备件通用性研究
</t>
  </si>
  <si>
    <t>1.电路原理图、接线规范逻辑清晰，标注准确，可直接指导现场施工。
2.新型按钮通断稳定性：通断成功率≥99.99%，无机械卡滞、接触不良现象；
3.试点及推广站点改造全覆盖，核心折返站点改造完成率 100%；
4.《青岛地铁双折返按钮自动折返系统安装工艺标准》、《ATB模式操作指南》等文件具有指导功能。</t>
  </si>
  <si>
    <t>一是实现物资共享，降低安全库存数量，改造前需储备自动折返按钮2套、紧停按钮3套，约1.65万元；改造后仅需储备紧停按钮3套，自动折返按钮尾端模块3块，储备总成本约0.75万元，可节约成本0.9万元。                         二是减少故障维修备件支出，改造前4号线自动折返按钮年均故障2起，改造后，根据既有线按钮使用情况测算，预计每年可节约成本约1.05万元，总计1.95万元。</t>
  </si>
  <si>
    <t>一是提升信号系统运行可靠性，全力保障列车行车安全与乘客出行安全；二是提升公共交通服务品质，自动折返作业高效稳定，减少列车折返延误，提升地铁准点率，优化市民出行体验，助力城市公共交通服务提质升级。</t>
  </si>
  <si>
    <t>信号二部3</t>
  </si>
  <si>
    <t>基于DPO技术定制模型赋能项目</t>
  </si>
  <si>
    <t>目前部分关键岗位存在明显的单点依赖问题，岗位专业性较强、分工相对固定，一旦相关人员临时缺位或沟通衔接不畅，易导致流程运转受阻，影响整体工作效率。
为此，本项目建立标准化的 “人员 + AI”AB 角互备机制，通过智能辅助与人工值守相结合的方式，实现岗位能力互补，有效防范专岗临时缺位带来的业务延迟。</t>
  </si>
  <si>
    <t>1. 深度知识内化（数据与训练）： 构建行业级高质量私域数据集，采用 LoRA 微调与 DPO 偏好优化双重技术策略。不仅让模型“懂专业”，更通过算法对齐确保其输出“零幻觉、高精准”，打造真正贴合业务实际的专业级大脑。
2. 弹性算力云端化（云端部署）： 突破传统本地服务器算力瓶颈与重资产投入，依托云原生架构实现大模型弹性部署。以更优的成本效益，保障高并发场景下模型稳定、高效、全天候在线。
3. 业务场景落地（终端应用）： 搭建轻量化交互前端，降低用户使用门槛。打通“私有数据-模型训练-云端算力-业务终端”的全链路闭环，确保前沿AI技术真正转化为一线生产力。</t>
  </si>
  <si>
    <t>1.采用自主训练大模型架构，无需外挂数据库，大幅提升系统响应速度，实现低延迟交互。
2.以稳定在线的 AI 能力替代人工执行环节，精简工作接口，有效降低沟通与执行延迟。
3.支持云端线上部署解决本地算力不足难题。
4.选用轻量化小参数模型，在保证效果的同时，显著缩短训练周期、降低训练与部署成本。</t>
  </si>
  <si>
    <t>完成大模型终端部署</t>
  </si>
  <si>
    <r>
      <rPr>
        <sz val="11"/>
        <rFont val="宋体"/>
        <charset val="134"/>
      </rPr>
      <t>1. 提升处置精度，防范安全风险。</t>
    </r>
    <r>
      <rPr>
        <sz val="11"/>
        <color indexed="8"/>
        <rFont val="等线"/>
        <charset val="134"/>
      </rPr>
      <t xml:space="preserve"> 有效提升生产、安全、技术类问题处置的专业性与精准度，打破核心业务知识仅掌握在少数人员手中的壁垒，实现专业经验规模化复用，从源头降低因经验不足、判断偏差引发的风险。
</t>
    </r>
    <r>
      <rPr>
        <b/>
        <sz val="11"/>
        <color indexed="8"/>
        <rFont val="等线"/>
        <charset val="134"/>
      </rPr>
      <t>2. 保持自主可控，赋能业务规范。</t>
    </r>
    <r>
      <rPr>
        <sz val="11"/>
        <color indexed="8"/>
        <rFont val="等线"/>
        <charset val="134"/>
      </rPr>
      <t xml:space="preserve"> 实现模型全流程自主可控，可依据最新技术规范、业务资料持续迭代优化，确保输出内容高准确率、高时效性。为生产组织、安全管控、技术革新提供权威、前沿的理论支撑与实操指引，推动业务处置标准化、规范化、专业化，助力技术能力稳步提升。
</t>
    </r>
    <r>
      <rPr>
        <b/>
        <sz val="11"/>
        <color indexed="8"/>
        <rFont val="等线"/>
        <charset val="134"/>
      </rPr>
      <t xml:space="preserve">3. 转化稀缺经验，实现减负增效。 </t>
    </r>
    <r>
      <rPr>
        <sz val="11"/>
        <color indexed="8"/>
        <rFont val="等线"/>
        <charset val="134"/>
      </rPr>
      <t xml:space="preserve">打破核心经验封闭瓶颈，将稀缺专业能力转化为可共享、可复用的标准化知识，降低一线人员学习与操作门槛，简化业务处置流程。减少因经验差异、知识盲区导致的重复检修、误操作等问题。
</t>
    </r>
    <r>
      <rPr>
        <b/>
        <sz val="11"/>
        <color indexed="8"/>
        <rFont val="等线"/>
        <charset val="134"/>
      </rPr>
      <t>4. 优化管理模式，提升运营效能。</t>
    </r>
    <r>
      <rPr>
        <sz val="11"/>
        <color indexed="8"/>
        <rFont val="等线"/>
        <charset val="134"/>
      </rPr>
      <t xml:space="preserve"> 通过智能知识体系的建设与应用，持续优化业务处置模式，提升整体运营管理精细化水平，降低因人员、技术、经验等因素带来的风险。</t>
    </r>
  </si>
  <si>
    <t>信号三部1</t>
  </si>
  <si>
    <t>3号线信号系统车地无线链路稳定性提升项目</t>
  </si>
  <si>
    <t>1.信号系统无线AP离线问题多发。AP长期在线运行，加上无线干扰因素，造成AP离线问题多发。
2.无线AP离线造成车地通信质量下降、车地通信丢包，从而引发列车降级等故障，影响运营。
3.AP离线需当日运营结束后进行远程重启，增加现场维护工作量。</t>
  </si>
  <si>
    <r>
      <rPr>
        <sz val="11"/>
        <rFont val="宋体"/>
        <charset val="134"/>
      </rPr>
      <t xml:space="preserve">1.调查设备现状。一是AP离线统计分析；二是AP离线处置情况；三是开展全线AP网卡自检，确认AP硬件状态；四是开展信号车载网卡自检，确认车载无线单元状态。
</t>
    </r>
    <r>
      <rPr>
        <b/>
        <sz val="11"/>
        <rFont val="宋体"/>
        <charset val="134"/>
      </rPr>
      <t>2.加装滤波装置。</t>
    </r>
    <r>
      <rPr>
        <sz val="11"/>
        <rFont val="宋体"/>
        <charset val="134"/>
      </rPr>
      <t>在AP箱内的通道上加装带通滤波装置，提升通道抗干扰能力，降低AP离线发生率。</t>
    </r>
  </si>
  <si>
    <t>1.应用系统思维研究攻克现场难题。从轨旁无线AP硬件，车载无线单元硬件，网卡参数测试等方面确认车地无线联络硬件运行状态，排除硬件问题造成无线链路不稳定及AP离线，判断为通信链路信号不稳定造成AP离线。
2.创造性应用滤波装置提升AP设备抗干扰能力，解决长期困扰现场的AP离线难题，提升信号系统车地无线链路稳定性。为采用WLAN车地无线制式的系统提供参考解决方案。</t>
  </si>
  <si>
    <t>完成滤波装置加装测试及无线AP稳定性提升效果验证。</t>
  </si>
  <si>
    <r>
      <rPr>
        <sz val="11"/>
        <rFont val="宋体"/>
        <charset val="134"/>
      </rPr>
      <t xml:space="preserve">一、直接效益
</t>
    </r>
    <r>
      <rPr>
        <b/>
        <sz val="11"/>
        <color indexed="8"/>
        <rFont val="等线"/>
        <charset val="134"/>
      </rPr>
      <t>1.攻克AP离线难题，AP离线频次下降90%以上，显著提升车地无线通信稳定性。</t>
    </r>
    <r>
      <rPr>
        <sz val="11"/>
        <color indexed="8"/>
        <rFont val="等线"/>
        <charset val="134"/>
      </rPr>
      <t xml:space="preserve">从根源上解决AP设备长期运行导致的离线红点、车地通信中断问题，保障车地无线通信连续稳定，防范因通信中断引发的列车降级、运营延误等问题，全力守护线路运营安全与乘客出行平安。
</t>
    </r>
    <r>
      <rPr>
        <b/>
        <sz val="11"/>
        <color indexed="8"/>
        <rFont val="等线"/>
        <charset val="134"/>
      </rPr>
      <t>2.降低AP维护成本。</t>
    </r>
    <r>
      <rPr>
        <sz val="11"/>
        <color indexed="8"/>
        <rFont val="等线"/>
        <charset val="134"/>
      </rPr>
      <t xml:space="preserve">通过加装滤波装置提升AP设备运行稳定性，减少因AP离线造成的远程重启、现场排查和应急处置工作量，降低AP设备维修、更换备件成本，减少运营期间发生AP离线的人员值守保障投入。
二、间接效益
</t>
    </r>
    <r>
      <rPr>
        <b/>
        <sz val="11"/>
        <color indexed="8"/>
        <rFont val="等线"/>
        <charset val="134"/>
      </rPr>
      <t>1.积累运维经验：</t>
    </r>
    <r>
      <rPr>
        <sz val="11"/>
        <color indexed="8"/>
        <rFont val="等线"/>
        <charset val="134"/>
      </rPr>
      <t>应用系统思维全面开展硬件排查、通信抗干扰治理，积累了AP系统智慧优化、预测性维护的相关技术经验及处置方法，为后续同类线路AP设备优化提供参考。</t>
    </r>
  </si>
  <si>
    <t>信号三部2</t>
  </si>
  <si>
    <t>信号ATS服务器智慧预警系统研发及部署</t>
  </si>
  <si>
    <t>通过重构核心ATS服务器状态监测程序，解决以下问题：
1、检测维度单一，仅通过进程存在性判断服务状态，无法识别进程锁死、线程阻塞、功能僵滞等隐性故障；
2、缺乏业务逻辑关联，无法感知主备通信异常、关键进程间协同失效等深层问题；
3、存在“假阳性”风险，进程存活但功能失效的情况易导致运维误判，延误应急处置窗口，影响ATS系统的检修质量。</t>
  </si>
  <si>
    <t>1、本项目以ATS系统28个核心进程为对象，通过深度解析shell源码及其函数调用链路，构建嵌入业务逻辑的智能诊断规则体系。
2、项目将状态监控从程序“是否存在”提升至“是否健康”，从“单体进程检查”扩展至“主备协同验证”，实现对进程状态、功能响应、通信链路的全维度感知，形成标准化的自动化检修流程，支撑系统运维从经验驱动向数据驱动转型。</t>
  </si>
  <si>
    <r>
      <rPr>
        <sz val="11"/>
        <rFont val="宋体"/>
        <charset val="134"/>
      </rPr>
      <t>1、打破代码“黑盒”，自主攻破ATS系统服务器监测软件中，运行状态检查不全难题。</t>
    </r>
    <r>
      <rPr>
        <sz val="11"/>
        <rFont val="等线"/>
        <charset val="134"/>
      </rPr>
      <t>全面梳理所有shell文件源码、函数调用关系及参数控制逻辑，为精准诊断奠定底层基础。
2、建立基于状态基线的前置预警机制，将故障发现节点由“业务异常”提前至“程序状态异常”，实现从被动响应向主动预警的跨越，</t>
    </r>
    <r>
      <rPr>
        <b/>
        <sz val="11"/>
        <rFont val="等线"/>
        <charset val="134"/>
      </rPr>
      <t>将故障响应时间缩短50%，故障处置效率提升80%。</t>
    </r>
    <r>
      <rPr>
        <sz val="11"/>
        <rFont val="等线"/>
        <charset val="134"/>
      </rPr>
      <t xml:space="preserve">
3、</t>
    </r>
    <r>
      <rPr>
        <b/>
        <sz val="11"/>
        <rFont val="等线"/>
        <charset val="134"/>
      </rPr>
      <t>系统性消除原检查手段在进程功能验证，协同状态监控方面的盲区</t>
    </r>
    <r>
      <rPr>
        <sz val="11"/>
        <rFont val="等线"/>
        <charset val="134"/>
      </rPr>
      <t>，实现ATS系统状态检查的“全覆盖、无死角”，为高可靠运维提供技术保障。</t>
    </r>
  </si>
  <si>
    <t>完成程序功能测试及部署</t>
  </si>
  <si>
    <r>
      <rPr>
        <sz val="11"/>
        <rFont val="宋体"/>
        <charset val="134"/>
      </rPr>
      <t xml:space="preserve">本项目聚焦 ATS 系统故障隐蔽、处置滞后、运维被动等核心痛点，构建精准预判、快速处置、智慧运维的一体化保障体系，全面破解隐性故障难发现、应急响应不及时、检修模式传统低效等难题，全方位提升行车运营稳定性与运维管理水平，各项效益效果显著，具体如下：
</t>
    </r>
    <r>
      <rPr>
        <b/>
        <sz val="11"/>
        <color indexed="8"/>
        <rFont val="等线"/>
        <charset val="134"/>
      </rPr>
      <t>一、社会效益：保障行车准点畅通，守护乘客出行体验</t>
    </r>
    <r>
      <rPr>
        <sz val="11"/>
        <color indexed="8"/>
        <rFont val="等线"/>
        <charset val="134"/>
      </rPr>
      <t xml:space="preserve">
通过提前识别并主动处置 ATS 系统隐性故障，有效规避因程序僵滞、主备切换异常等问题引发的列车晚点、运行中断等运营风险，切实保障线路行车正点率，将整体故障处置效率提升80%。
</t>
    </r>
    <r>
      <rPr>
        <b/>
        <sz val="11"/>
        <color indexed="8"/>
        <rFont val="等线"/>
        <charset val="134"/>
      </rPr>
      <t>二、应急处置效率：秒级精准定位故障，全面提升处置效能</t>
    </r>
    <r>
      <rPr>
        <sz val="11"/>
        <color indexed="8"/>
        <rFont val="等线"/>
        <charset val="134"/>
      </rPr>
      <t xml:space="preserve">
将问题识别与研判时间由 “分钟级” 压缩至 “秒级”，隐患发现时间提升95%，大幅减少故障误判、重复排查等低效环节，显著缩短应急响应与故障处置周期。实现异常情况早发现、快处置，有效防止故障扩大蔓延，全面提升应急抢修效率与现场处置能力，筑牢行车安全应急保障防线。
</t>
    </r>
    <r>
      <rPr>
        <b/>
        <sz val="11"/>
        <color indexed="8"/>
        <rFont val="等线"/>
        <charset val="134"/>
      </rPr>
      <t>三、运维模式效益：推动检修模式转型，实现智慧化提质增效</t>
    </r>
    <r>
      <rPr>
        <sz val="11"/>
        <color indexed="8"/>
        <rFont val="等线"/>
        <charset val="134"/>
      </rPr>
      <t xml:space="preserve">
打破传统周期性被动检修局限，推动运维模式向 “预防性智慧运维” 转型升级，从源头降低故障发生概率。通过智能化预判与精准化处置，减少人工依赖与重复性作业频次，优化运维资源配置，在提升运维作业安全性的同时，实现运维效率与管理水平双重提升。
</t>
    </r>
    <r>
      <rPr>
        <b/>
        <sz val="11"/>
        <color indexed="8"/>
        <rFont val="等线"/>
        <charset val="134"/>
      </rPr>
      <t>四、设备运行效益：强化系统稳定可靠，降低运营安全风险</t>
    </r>
    <r>
      <rPr>
        <sz val="11"/>
        <color indexed="8"/>
        <rFont val="等线"/>
        <charset val="134"/>
      </rPr>
      <t xml:space="preserve">
持续保障 ATS 系统健康稳定运行，减少因系统异常、隐性故障带来的设备性能衰减与运营风险。通过提前干预、精准处置，提升关键信号系统运行可靠性，降低非计划停运及故障发生率，为列车安全、有序、高效运行提供坚实设备保障</t>
    </r>
  </si>
  <si>
    <t>信号三部3</t>
  </si>
  <si>
    <t>高可靠抗振型BTM天线安装结构改造提升与应用</t>
  </si>
  <si>
    <r>
      <rPr>
        <sz val="11"/>
        <color indexed="8"/>
        <rFont val="等线"/>
        <charset val="134"/>
      </rPr>
      <t xml:space="preserve">通过8号线BTM安装改造解决以下问题：
1）消除BTM天线固定螺栓磨损断裂隐患。当前 BTM 天线安装结构易出现固定螺栓磨损严重、疲劳断裂等问题，且振动幅值越大，对紧固件的损伤越明显，存在天线脱落、设备运行异常等安全风险；
2、降低耗材消耗成本。频繁的螺栓磨损更换，大大增大了耗材成本。
3、降低维护压力，缩减不必要的作业时间。当前的安装结构，无法直观的从外观查看磨损情况，需班组结合修程不定期进行拆检，存在拆检不到位漏检及拆检过度螺栓紧固性差的隐患，增大了班组维护压力的同时增多了额外的作业时间。
</t>
    </r>
  </si>
  <si>
    <r>
      <rPr>
        <sz val="11"/>
        <rFont val="宋体"/>
        <charset val="134"/>
      </rPr>
      <t xml:space="preserve">为从根源上解决BTM天线螺栓模式断裂痛点问题，保障设备安全稳定运行，特开展以下技术优化工作：
</t>
    </r>
    <r>
      <rPr>
        <b/>
        <sz val="11"/>
        <color indexed="8"/>
        <rFont val="等线"/>
        <charset val="134"/>
      </rPr>
      <t>1.全线路调研摸排，开展差异性对比分析。</t>
    </r>
    <r>
      <rPr>
        <sz val="11"/>
        <color indexed="8"/>
        <rFont val="等线"/>
        <charset val="134"/>
      </rPr>
      <t xml:space="preserve">对青岛地铁各线路 BTM 天线安装形式、固定结构及使用工况进行全面调研分析，系统梳理不同线路安装特点、结构差异及运维情况，为8号线BTM天线的安装改造提供思路。
</t>
    </r>
    <r>
      <rPr>
        <b/>
        <sz val="11"/>
        <color indexed="8"/>
        <rFont val="等线"/>
        <charset val="134"/>
      </rPr>
      <t>2.专项受力校核，完成8号线技术评估。</t>
    </r>
    <r>
      <rPr>
        <sz val="11"/>
        <color indexed="8"/>
        <rFont val="等线"/>
        <charset val="134"/>
      </rPr>
      <t xml:space="preserve">针对 8 号线 BTM 天线本体及安装紧固件进行材质特性、受力状态专项分析，评估刚性安装模式下振动冲击对设备的影响，形成完整技术评估报告。
</t>
    </r>
    <r>
      <rPr>
        <b/>
        <sz val="11"/>
        <color indexed="8"/>
        <rFont val="等线"/>
        <charset val="134"/>
      </rPr>
      <t>3.优化结构设计，制定免维护安装方案。</t>
    </r>
    <r>
      <rPr>
        <sz val="11"/>
        <color indexed="8"/>
        <rFont val="等线"/>
        <charset val="134"/>
      </rPr>
      <t xml:space="preserve">开展专题技术研讨，结合BTM天线本体材质特性，受力情况优化设计新型安装结构，研究并采用高可靠、抗振动、长寿命的免维护安装方案，从根本上消除螺栓磨损及断裂隐患，大幅减少定期更换作业量，降低运维耗材成本与人工投入，全面提升设备长期运行稳定性与可靠性。
</t>
    </r>
    <r>
      <rPr>
        <b/>
        <sz val="11"/>
        <color indexed="8"/>
        <rFont val="等线"/>
        <charset val="134"/>
      </rPr>
      <t>4、装车测试，推进批量应用。</t>
    </r>
    <r>
      <rPr>
        <sz val="11"/>
        <color indexed="8"/>
        <rFont val="等线"/>
        <charset val="134"/>
      </rPr>
      <t>对新型安装方式装车测试，持续跟踪并进行数据采集分析，评估其对列车运行的影响，验证方案免维护的可行性；试验达标后，实施后续列车批量安装改造。</t>
    </r>
  </si>
  <si>
    <r>
      <rPr>
        <sz val="11"/>
        <rFont val="宋体"/>
        <charset val="134"/>
      </rPr>
      <t>1、设计方案创新：</t>
    </r>
    <r>
      <rPr>
        <sz val="11"/>
        <color indexed="8"/>
        <rFont val="等线"/>
        <charset val="134"/>
      </rPr>
      <t xml:space="preserve">从“被动防松”到“主动抗振”。目前BTM天线采用“弹簧垫圈+螺栓”的柔性固定结构。该结构在持续振动环境下，易导致螺栓磨损、预紧力衰减，进而引发疲劳甚至断裂。新采用刚性一体化结构，使连接部位不产生相对微动，从而从受力角度上主动杜绝了因振动引发的磨损与松动。
</t>
    </r>
    <r>
      <rPr>
        <b/>
        <sz val="11"/>
        <color indexed="8"/>
        <rFont val="等线"/>
        <charset val="134"/>
      </rPr>
      <t>2.连接结构创新：</t>
    </r>
    <r>
      <rPr>
        <sz val="11"/>
        <color indexed="8"/>
        <rFont val="等线"/>
        <charset val="134"/>
      </rPr>
      <t xml:space="preserve">从“离散装配”到“整体集成”。目前BTM天线由螺栓、螺母、垫片等10个离散零件组成的可拆卸装配体，界面多，潜在失效点多。新的安装方式采用刚性一体化硬连接设计，将天线与安装底座（专用过渡件）集成为一个稳固的整体，变“多点螺纹紧固”为“面域刚性连接”，彻底取消了螺纹附在主要受力路径上的作用。
</t>
    </r>
    <r>
      <rPr>
        <b/>
        <sz val="11"/>
        <color indexed="8"/>
        <rFont val="等线"/>
        <charset val="134"/>
      </rPr>
      <t>3.全生命周期成本模式创新</t>
    </r>
    <r>
      <rPr>
        <sz val="11"/>
        <color indexed="8"/>
        <rFont val="等线"/>
        <charset val="134"/>
      </rPr>
      <t xml:space="preserve">：从“周期性维护”到“本质免维护”。新的安装方式一次性解决了振动导致的磨损情况，实现了全生命周期免维护。这不仅取消了计划性的物料与人工投入，更避免了维护窗口期带来的运营干扰，将成本模式从“长期持续投入”优化为“一次性投资”，大大节省了每年2万元的耗材成本及每月5个多小时的维护成本。
</t>
    </r>
    <r>
      <rPr>
        <b/>
        <sz val="11"/>
        <color indexed="8"/>
        <rFont val="等线"/>
        <charset val="134"/>
      </rPr>
      <t>4.效能标准创新：</t>
    </r>
    <r>
      <rPr>
        <sz val="11"/>
        <color indexed="8"/>
        <rFont val="等线"/>
        <charset val="134"/>
      </rPr>
      <t>从“满足功能”到“新可靠性标准”。新的安装方式不仅保证了安装本身的高可靠性，更通过消除螺栓磨损断裂隐患，显著提升了天线长期运行的电气稳定性。</t>
    </r>
  </si>
  <si>
    <t>形成新的安装方式及设备运行稳定，功能正常</t>
  </si>
  <si>
    <t>2.3万元/年</t>
  </si>
  <si>
    <r>
      <rPr>
        <sz val="11"/>
        <rFont val="宋体"/>
        <charset val="134"/>
      </rPr>
      <t xml:space="preserve">本项目针对8号线BTM天线安装结构受列车振动影响、螺栓磨损断裂、运维成本高、安全隐患突出等核心痛点，通过全面调研、专项分析与技术创新，优化设计新型安装结构，全方位提升设备运行可靠性、降低运维成本、消除安全隐患，各项效益效果显著，具体如下：
一、直接效益
</t>
    </r>
    <r>
      <rPr>
        <b/>
        <sz val="11"/>
        <color indexed="8"/>
        <rFont val="等线"/>
        <charset val="134"/>
      </rPr>
      <t>1、设备安全可靠性提升：</t>
    </r>
    <r>
      <rPr>
        <sz val="11"/>
        <color indexed="8"/>
        <rFont val="等线"/>
        <charset val="134"/>
      </rPr>
      <t xml:space="preserve">从根源上解决列车长期振动引发的螺栓严重磨损、疲劳断裂等问题，彻底消除天线脱落、设备运行异常等安全风险，显著提升BTM天线安装的稳定性、抗振动性与耐久性，延长设备整体使用寿命，减少设备故障发生率，也杜绝了因设备故障引发的行车安全隐患，全力保障线路运营安全、乘客出行平安，保障信号系统稳定运行，为线路高效运营提供坚实支撑。
</t>
    </r>
    <r>
      <rPr>
        <b/>
        <sz val="11"/>
        <color indexed="8"/>
        <rFont val="等线"/>
        <charset val="134"/>
      </rPr>
      <t>2、成本降低：</t>
    </r>
    <r>
      <rPr>
        <sz val="11"/>
        <color indexed="8"/>
        <rFont val="等线"/>
        <charset val="134"/>
      </rPr>
      <t xml:space="preserve">通过采用高可靠、抗振动、长寿命的免维护安装方案，取消螺栓定期更换作业，大幅减少运维人员巡检、维护及耗材更换工作量，降低人工投入与螺栓耗材成本；同时优化后的安装结构可长期稳定运行，减少设备故障抢修成本，实现运维降本增效。
</t>
    </r>
    <r>
      <rPr>
        <b/>
        <sz val="11"/>
        <color indexed="8"/>
        <rFont val="等线"/>
        <charset val="134"/>
      </rPr>
      <t>3、运维减负：</t>
    </r>
    <r>
      <rPr>
        <sz val="11"/>
        <color indexed="8"/>
        <rFont val="等线"/>
        <charset val="134"/>
      </rPr>
      <t xml:space="preserve">简化BTM天线运维流程，摒弃传统安装方式下繁琐的定期检修、螺栓更换作业，降低运维人员操作难度，减少现场运维工作量，缓解运维班组工作压力，提升运维作业效率。
二、间接效益
</t>
    </r>
    <r>
      <rPr>
        <b/>
        <sz val="11"/>
        <color indexed="8"/>
        <rFont val="等线"/>
        <charset val="134"/>
      </rPr>
      <t>1、积累技术经验：</t>
    </r>
    <r>
      <rPr>
        <sz val="11"/>
        <color indexed="8"/>
        <rFont val="等线"/>
        <charset val="134"/>
      </rPr>
      <t xml:space="preserve">通过对青岛地铁各线路BTM天线安装形式的全面调研、专项技术分析及与厂家的深度研讨，积累了丰富的安装优化经验、技术数据及测试方法，为后续同类线路BTM天线安装改造提供标准化参考，提升专业团队技术管控水平。
</t>
    </r>
    <r>
      <rPr>
        <b/>
        <sz val="11"/>
        <color indexed="8"/>
        <rFont val="等线"/>
        <charset val="134"/>
      </rPr>
      <t>2、强化技术储备：</t>
    </r>
    <r>
      <rPr>
        <sz val="11"/>
        <color indexed="8"/>
        <rFont val="等线"/>
        <charset val="134"/>
      </rPr>
      <t>通过项目实施，培养一批既精通BTM天线结构特性、受力分析，又掌握新型安装工艺的复合型专业人才，提升员工专业素养与技术能力；同时形成一套成熟的BTM天线免维护安装技术方案，为轨道交通信号设备优化升级储备核心技术。</t>
    </r>
  </si>
  <si>
    <t>信号三部4</t>
  </si>
  <si>
    <t>信号系统紧急停车按钮可靠性提升与运维赋能项目</t>
  </si>
  <si>
    <t>通过3号线紧急停车按钮可靠性与运维效能提升项目，解决以下问题：
1.解决“电缆-按钮”直连模式可靠性不足问题，既有方式存在因振动、导线弯折导致的电缆芯线疲劳断裂、端子虚接、松动等安全隐患。
2.解决灯、钮集成布局的故障连带影响问题。按钮与指示灯集成于一体，单一元件损坏，需更换整个集成单元，且故障影响范围被扩大。
3.解决恶劣环境下设备性能劣化问题。受环境影响，设备内部接点及线路易发生氧化腐蚀、积尘结垢，影响设备长期运行的稳定性。
4.解决运维效率低、成本高的问题。故障排查繁琐、设备更换时间长，存在“一坏全换”的运维困境（2022年全线更换紧停按钮88个），导致运维效率低下、维护成本高的情况。</t>
  </si>
  <si>
    <t>1.采用万可端子连接设计，优化“电缆-按钮”连接结构，采用指示灯和按钮分开布置方式，具体实施如下：
①将室外电缆接入端子排一侧，通过端子排承载电缆机械应力，避免机械应力直接传递至导线，从源头消除因振动、导线弯折导致的电缆芯线疲劳断裂、端子虚接、松动等单点故障隐患。同时为按钮、指示灯设计独立接线回路，避免指示灯与按钮集成带来的故障连带影响，显著提升紧急停车按钮及指示灯的连接可靠性与运行稳定性。
②采用多股软线分别实现端子排与紧急停车按钮、指示灯的独立连接，既形成有效的振动缓冲结构，减少振动对按钮、指示灯接口的影响，又构建标准化快速维护接口，支持按钮、指示灯部件的单独快速更换，避免单一部件故障导致整体设备无法正常使用，进一步提升运维作业的便捷性与效率，降低运维成本。
2.增设防护装置与改进密封设计，通过增设适配灯钮分离布局的专用防护装置，优化密封结构，有效抵御高温、高湿、多灰及盐雾环境对设备接点的侵蚀与影响，确保紧急情况下紧急停车按钮的准确性和稳定性。</t>
  </si>
  <si>
    <r>
      <rPr>
        <sz val="11"/>
        <rFont val="宋体"/>
        <charset val="134"/>
      </rPr>
      <t>1.连接结构与布局创新：</t>
    </r>
    <r>
      <rPr>
        <sz val="11"/>
        <color indexed="8"/>
        <rFont val="宋体"/>
        <charset val="134"/>
      </rPr>
      <t xml:space="preserve">采用万可端子排过渡转接与灯、钮分离布局；室外电缆接入端子排承载机械应力，消除振动、弯折引发的安全隐患；为灯、钮设计独立回路，杜绝故障连带影响，提升运行可靠性。
</t>
    </r>
    <r>
      <rPr>
        <b/>
        <sz val="11"/>
        <color indexed="8"/>
        <rFont val="宋体"/>
        <charset val="134"/>
      </rPr>
      <t>2.运维便捷性创新：</t>
    </r>
    <r>
      <rPr>
        <sz val="11"/>
        <color indexed="8"/>
        <rFont val="宋体"/>
        <charset val="134"/>
      </rPr>
      <t xml:space="preserve">通过多股软线实现端子排与按钮、指示灯的独立连接，既构建振动缓冲结构、削弱振动冲击，又打造标准化维护接口，支持单一部件单独快速更换，打破“一坏全换”困境，提升运维效率、降低维修成本。
</t>
    </r>
    <r>
      <rPr>
        <b/>
        <sz val="11"/>
        <color indexed="8"/>
        <rFont val="宋体"/>
        <charset val="134"/>
      </rPr>
      <t>3.防护设计适配创新：</t>
    </r>
    <r>
      <rPr>
        <sz val="11"/>
        <color indexed="8"/>
        <rFont val="宋体"/>
        <charset val="134"/>
      </rPr>
      <t>针对灯钮分离布局，优化防护与密封设计，增设专用防护装置、改进密封结构，适配恶劣现场环境，解决设备易受侵蚀的行业痛点，实现设备的“一尘不染”，确保设备性能稳定。</t>
    </r>
  </si>
  <si>
    <t>形成新的连接与防护密封结构，设备运行稳定，功能正常</t>
  </si>
  <si>
    <r>
      <rPr>
        <sz val="11"/>
        <rFont val="宋体"/>
        <charset val="134"/>
      </rPr>
      <t xml:space="preserve">本项目对3号线紧急停车按钮进行连接结构优化，彻底解决了接线隐患与运维低效问题，显著提升运营安全与服务质量。主要效益如下：
一、直接效益
</t>
    </r>
    <r>
      <rPr>
        <b/>
        <sz val="11"/>
        <color indexed="8"/>
        <rFont val="等线"/>
        <charset val="134"/>
      </rPr>
      <t>应急处置效率大幅提速：</t>
    </r>
    <r>
      <rPr>
        <sz val="11"/>
        <color indexed="8"/>
        <rFont val="等线"/>
        <charset val="134"/>
      </rPr>
      <t xml:space="preserve">采用万可端子排转接与灯钮分离布局，实现应力缓冲与快速维护。故障时可独立更换按钮或指示灯，处置时间从5分钟缩短至2分钟内，确保应急操作精准有效。
</t>
    </r>
    <r>
      <rPr>
        <b/>
        <sz val="11"/>
        <color indexed="8"/>
        <rFont val="等线"/>
        <charset val="134"/>
      </rPr>
      <t>设备可靠性全面提升：</t>
    </r>
    <r>
      <rPr>
        <sz val="11"/>
        <color indexed="8"/>
        <rFont val="等线"/>
        <charset val="134"/>
      </rPr>
      <t xml:space="preserve">端子排吸收机械应力，避免导线疲劳断裂；独立回路与增强防护设计有效抵御潮湿、粉尘等环境影响，降低氧化腐蚀风险，延长设备使用寿命，减少更换频次。
</t>
    </r>
    <r>
      <rPr>
        <b/>
        <sz val="11"/>
        <color indexed="8"/>
        <rFont val="等线"/>
        <charset val="134"/>
      </rPr>
      <t>运维工作高效减负：</t>
    </r>
    <r>
      <rPr>
        <sz val="11"/>
        <color indexed="8"/>
        <rFont val="等线"/>
        <charset val="134"/>
      </rPr>
      <t xml:space="preserve">标准化接线与软线连接简化了作业流程，避免二次损伤与操作风险，减少日常巡检工作量，节约人工与材料成本，实现运维提质增效。
二、间接效益
</t>
    </r>
    <r>
      <rPr>
        <b/>
        <sz val="11"/>
        <color indexed="8"/>
        <rFont val="等线"/>
        <charset val="134"/>
      </rPr>
      <t>提升运营秩序与社会稳定度：</t>
    </r>
    <r>
      <rPr>
        <sz val="11"/>
        <color indexed="8"/>
        <rFont val="等线"/>
        <charset val="134"/>
      </rPr>
      <t xml:space="preserve">根除了紧急停车回路安全隐患，保障乘客出行安全，增强公众对轨道交通的信任，维护运营秩序与社会稳定。
</t>
    </r>
    <r>
      <rPr>
        <b/>
        <sz val="11"/>
        <color indexed="8"/>
        <rFont val="等线"/>
        <charset val="134"/>
      </rPr>
      <t>长期安全高效运营奠定基础：</t>
    </r>
    <r>
      <rPr>
        <sz val="11"/>
        <color indexed="8"/>
        <rFont val="等线"/>
        <charset val="134"/>
      </rPr>
      <t>项目完善了应急保障体系，减少因设备故障导致的运营延误，提升列车准点率，降低维修成本与运营风险，为线路长期安全高效运行提供坚实基础。</t>
    </r>
  </si>
  <si>
    <t>信号三部5</t>
  </si>
  <si>
    <t>信号联锁关系全场景智能测试平台搭建及应用</t>
  </si>
  <si>
    <r>
      <rPr>
        <sz val="11"/>
        <color indexed="8"/>
        <rFont val="宋体"/>
        <charset val="134"/>
      </rPr>
      <t>通过搭建信号联锁关系全场景智能测试平台，重点解决以下问题：
1.解决现场测试覆盖不全问题，补齐测试短板。传统信号联锁关系测试，部分项点依赖厂家后台实验室进行，现场无法进行全面测试，测试质量存在不足。
2.降低现场施工与测试风险。现场进行高频次测试施工作业，不仅存在行车安全隐患、设备损坏风险，同时安全管控压力骤增。
3.缓解现场测试工期压力。8号线北段信号联锁系统PMI G3平台升级改造项目，现场测试工程量大，急需破解工期紧张的核心难题，确保项目按期推进、顺利竣工。
4.节约人力工时成本。夜间测试作业需要大量人员加班及现场值守，人力投入成本较大。</t>
    </r>
  </si>
  <si>
    <r>
      <rPr>
        <sz val="11"/>
        <rFont val="宋体"/>
        <charset val="134"/>
      </rPr>
      <t xml:space="preserve">为解决信号联锁关系现场测试覆盖不全、工程量大、施工风险高等痛点，依托既有设备资源，创新搭建业内首个现场“实验室级”联锁关系全场景智能测试平台。该平台实现全联锁测试场景仿真验证，推动信号系统改造向数字化、可预测、高效率方向演进。
</t>
    </r>
    <r>
      <rPr>
        <b/>
        <sz val="11"/>
        <color indexed="8"/>
        <rFont val="宋体"/>
        <charset val="134"/>
      </rPr>
      <t>1.联锁关系测试全覆盖。</t>
    </r>
    <r>
      <rPr>
        <sz val="11"/>
        <color indexed="8"/>
        <rFont val="宋体"/>
        <charset val="134"/>
      </rPr>
      <t xml:space="preserve">通过搭建测试平台，实现厂家后台实验转移至现场测试开展，深度融合现场真实运行场景与实验室仿真环境，实现联锁关系全覆盖模拟与验证，提升测试覆盖度与可靠性。
</t>
    </r>
    <r>
      <rPr>
        <b/>
        <sz val="11"/>
        <color indexed="8"/>
        <rFont val="宋体"/>
        <charset val="134"/>
      </rPr>
      <t>2.推进测试效能提升。</t>
    </r>
    <r>
      <rPr>
        <sz val="11"/>
        <color indexed="8"/>
        <rFont val="宋体"/>
        <charset val="134"/>
      </rPr>
      <t xml:space="preserve">在8号线北段信号联锁系统PMI G3平台升级改造项目中，依托测试平台创新测试模式，推行现场动调与平台测试“双同步”并行机制，有效降低现场施工与测试风险，大幅压缩测试工期，同时减少人力投入成本。
</t>
    </r>
    <r>
      <rPr>
        <b/>
        <sz val="11"/>
        <color indexed="8"/>
        <rFont val="宋体"/>
        <charset val="134"/>
      </rPr>
      <t>3.测试过程深度参与。</t>
    </r>
    <r>
      <rPr>
        <sz val="11"/>
        <color indexed="8"/>
        <rFont val="宋体"/>
        <charset val="134"/>
      </rPr>
      <t>测试平台的应用改变以往厂家后台单独开展实验的模式，让员工可全程参与测试，精准把控测试质量，提升测试结果的可靠性。</t>
    </r>
  </si>
  <si>
    <r>
      <rPr>
        <sz val="11"/>
        <rFont val="宋体"/>
        <charset val="134"/>
      </rPr>
      <t>1.平台定位创新：</t>
    </r>
    <r>
      <rPr>
        <sz val="11"/>
        <color indexed="8"/>
        <rFont val="宋体"/>
        <charset val="134"/>
      </rPr>
      <t xml:space="preserve">突破传统测试局限，创新搭建业内首个现场“实验室级”信号联锁关系全场景智能测试平台，实现“厂家后台实验”向“运营现场测试”的升级，员工全程深度参与把控测试过程，提升测试质量与可靠性。
</t>
    </r>
    <r>
      <rPr>
        <b/>
        <sz val="11"/>
        <color indexed="8"/>
        <rFont val="宋体"/>
        <charset val="134"/>
      </rPr>
      <t>2.测试能力创新：</t>
    </r>
    <r>
      <rPr>
        <sz val="11"/>
        <color indexed="8"/>
        <rFont val="宋体"/>
        <charset val="134"/>
      </rPr>
      <t xml:space="preserve">平台可精准复刻线路设备运行状态，具备上千条联锁逻辑的全覆盖测试能力，彻底解决现场测试覆盖不全、验证不充分的痛点，大幅提升测试的完整性与精准度。
</t>
    </r>
    <r>
      <rPr>
        <b/>
        <sz val="11"/>
        <color indexed="8"/>
        <rFont val="宋体"/>
        <charset val="134"/>
      </rPr>
      <t>3.测试模式创新：</t>
    </r>
    <r>
      <rPr>
        <sz val="11"/>
        <color indexed="8"/>
        <rFont val="宋体"/>
        <charset val="134"/>
      </rPr>
      <t>打破传统单一人工现场测试模式，创新采用现场动调与平台测试“双同步”并行模式，大幅提升了联锁测试效率，有效解决现场测试易遗漏、周期长、风险高的难题。</t>
    </r>
  </si>
  <si>
    <t>2025年12月完成</t>
  </si>
  <si>
    <t>完成平台落地应用及8号线北段8个控区联锁关系测试</t>
  </si>
  <si>
    <r>
      <rPr>
        <sz val="11"/>
        <rFont val="宋体"/>
        <charset val="134"/>
      </rPr>
      <t xml:space="preserve">本项目针对信号联锁关系现场测试覆盖不足、工程量大、施工风险高等痛点，搭建现场信号联锁关系全场景智能测试平台，通过测试流程创新，全面提升测试可靠性与测试效率，有效降低安全风险和成本投入，助力8号线北段信号联锁系统PMI G3平台升级改造项目稳步推进，各项效益效果显著，具体如下：
一、直接效益
</t>
    </r>
    <r>
      <rPr>
        <b/>
        <sz val="11"/>
        <color indexed="8"/>
        <rFont val="等线"/>
        <charset val="134"/>
      </rPr>
      <t>1.测试可靠度提升：</t>
    </r>
    <r>
      <rPr>
        <sz val="11"/>
        <color indexed="8"/>
        <rFont val="等线"/>
        <charset val="134"/>
      </rPr>
      <t xml:space="preserve">平台实现全场景、全方位仿真测试，员工深度参与测试过程，精准排查信号联锁逻辑漏洞及潜在问题，从源头提升测试质量，保障信号系统安全稳定运行，减少后期运营隐患。
</t>
    </r>
    <r>
      <rPr>
        <b/>
        <sz val="11"/>
        <color indexed="8"/>
        <rFont val="等线"/>
        <charset val="134"/>
      </rPr>
      <t>2.施工风险降低：</t>
    </r>
    <r>
      <rPr>
        <sz val="11"/>
        <color indexed="8"/>
        <rFont val="等线"/>
        <charset val="134"/>
      </rPr>
      <t xml:space="preserve">可大幅减少现场测试作业量，规避行车安全隐患、设备损坏等风险，降低现场作业的安全管控压力，保障人员、设备及行车安全。
</t>
    </r>
    <r>
      <rPr>
        <b/>
        <sz val="11"/>
        <color indexed="8"/>
        <rFont val="等线"/>
        <charset val="134"/>
      </rPr>
      <t>3.测试效率提升：</t>
    </r>
    <r>
      <rPr>
        <sz val="11"/>
        <color indexed="8"/>
        <rFont val="等线"/>
        <charset val="134"/>
      </rPr>
      <t xml:space="preserve">采用现场动调与平台仿真“双同步”模式，显著缩减现场测试周期，整体测试效率提升30%，有效破解工期紧张难题，确保改造项目按期竣工。
</t>
    </r>
    <r>
      <rPr>
        <b/>
        <sz val="11"/>
        <color indexed="8"/>
        <rFont val="等线"/>
        <charset val="134"/>
      </rPr>
      <t>4.人力成本降低：</t>
    </r>
    <r>
      <rPr>
        <sz val="11"/>
        <color indexed="8"/>
        <rFont val="等线"/>
        <charset val="134"/>
      </rPr>
      <t xml:space="preserve">优化测试作业模式，减少夜间测试次数，有效降低人员加班、现场值守等施工投入，同时平台可复用推广，大幅降低后续同类项目的设备与人力投入，实现长效降本增效。
二、间接效益
</t>
    </r>
    <r>
      <rPr>
        <b/>
        <sz val="11"/>
        <color indexed="8"/>
        <rFont val="等线"/>
        <charset val="134"/>
      </rPr>
      <t>1.积累测试经验：</t>
    </r>
    <r>
      <rPr>
        <sz val="11"/>
        <color indexed="8"/>
        <rFont val="等线"/>
        <charset val="134"/>
      </rPr>
      <t xml:space="preserve">通过平台的应用积累，完善各类测试用例、故障处置方法及优化经验，形成可复制、可推广的标准体系，有效提升团队专业测试能力与项目管控水平。
</t>
    </r>
    <r>
      <rPr>
        <b/>
        <sz val="11"/>
        <color indexed="8"/>
        <rFont val="等线"/>
        <charset val="134"/>
      </rPr>
      <t>2.培养复合型人才：</t>
    </r>
    <r>
      <rPr>
        <sz val="11"/>
        <color indexed="8"/>
        <rFont val="等线"/>
        <charset val="134"/>
      </rPr>
      <t>依托测试平台实操锻炼，打造一批精通信号联锁逻辑、掌握仿真测试技能的复合型人才队伍，提升员工综合素养，为轨道交通信号系统运维与改造储备核心人才。</t>
    </r>
  </si>
  <si>
    <t>信号三部6</t>
  </si>
  <si>
    <t>3号线电客车牵引能耗智能优化研究与应用</t>
  </si>
  <si>
    <t>突破3号线既有运行模式下的能耗瓶颈，降低电客车牵引能耗，实现线路降本增效。</t>
  </si>
  <si>
    <r>
      <rPr>
        <sz val="11"/>
        <rFont val="宋体"/>
        <charset val="134"/>
      </rPr>
      <t>1.构建牵引能耗分析模型：</t>
    </r>
    <r>
      <rPr>
        <sz val="11"/>
        <color indexed="8"/>
        <rFont val="等线"/>
        <charset val="134"/>
      </rPr>
      <t xml:space="preserve"> 深度剖析线路运行因素对牵引能耗的影响，精准定位信号系统中控制列车运行轨迹与牵引力分配的核心参数。
</t>
    </r>
    <r>
      <rPr>
        <b/>
        <sz val="11"/>
        <color indexed="8"/>
        <rFont val="等线"/>
        <charset val="134"/>
      </rPr>
      <t>2.开展运行图参数寻优与动态调控：</t>
    </r>
    <r>
      <rPr>
        <sz val="11"/>
        <color indexed="8"/>
        <rFont val="等线"/>
        <charset val="134"/>
      </rPr>
      <t xml:space="preserve"> 基于理论模型与实测数据，对信号系统牵引与制动参数进行调优；在保障既有运行交路及准点率的前提下，优化列车运行曲线，实现牵引能耗的下降。</t>
    </r>
  </si>
  <si>
    <t>1. 改变以往靠经验调参数的做法，通过量化分析线路实际工况对能耗的影响，精准锁定信号系统里控制耗电的关键参数。
2. 摆脱厂家和外部资源依赖，完全自主研究实施。
3.形成“后台测算调优—实地运行验证—数据反馈复用”的闭环机制，让节能不是一次性操作，而是能够持续优化迭代。</t>
  </si>
  <si>
    <t>2026年6月完成</t>
  </si>
  <si>
    <t>完成信号系统参数调优，实现3号线的牵引能耗降低</t>
  </si>
  <si>
    <t>实现全年节约牵引能耗同比去年不低于2%，按0.5元每度电费计，每年节约金额40万元以上。</t>
  </si>
  <si>
    <r>
      <rPr>
        <sz val="11"/>
        <rFont val="宋体"/>
        <charset val="134"/>
      </rPr>
      <t>1.直接削减碳排放，助力“双碳”目标落地：</t>
    </r>
    <r>
      <rPr>
        <sz val="11"/>
        <color indexed="8"/>
        <rFont val="宋体"/>
        <charset val="134"/>
      </rPr>
      <t xml:space="preserve"> 有效压降3号线电客车牵引耗电量，减少天然气、煤炭等化石能源的间接消耗，以实实在在的减排量响应国家“碳达峰、碳中和”战略，提升轨道交通绿色底色；
</t>
    </r>
    <r>
      <rPr>
        <b/>
        <sz val="11"/>
        <color indexed="8"/>
        <rFont val="宋体"/>
        <charset val="134"/>
      </rPr>
      <t>2.沉淀可复用技术成果，发挥行业示范效应：</t>
    </r>
    <r>
      <rPr>
        <sz val="11"/>
        <color indexed="8"/>
        <rFont val="宋体"/>
        <charset val="134"/>
      </rPr>
      <t xml:space="preserve"> 项目探索出的“信号参数调优降耗”机制，可为线网内其他线路乃至其他城市的地铁节能提供可复制、可推广的成功样本，具有较强的行业借鉴与引领价值。</t>
    </r>
  </si>
  <si>
    <t>信号三部7</t>
  </si>
  <si>
    <t>6号线云平台测试中心弹性超分与绿色高效调度体系重构</t>
  </si>
  <si>
    <t>1.在传统的云平台部署模式下，为了保障业务高峰期的稳定性，往往按照峰值需求配置物理资源。导致在非高峰期或日常运行中，大量物理CPU核心处于空闲或低负载状态，导致设备资源利用率不高。
2.随着线路增加和业务系统上云，若继续沿用传统模式，需要不断采购新的物理服务器，导致硬件投资巨大，且面临机房空间、电力供应和散热能力的物理瓶颈。
3.人工评估超分比例和手动调整资源不仅效率低下，而且难以量化风险。缺乏数据支撑的盲目超分可能导致系统崩溃。</t>
  </si>
  <si>
    <t>本项目聚焦6号线云平台主中心，旨在构建一套“智能感知、弹性超分、分级保障”的新一代算力调度体系：通过重构底层虚拟化架构，打破物理核心与虚拟资源的刚性绑定，实施基于业务重要性的差异化超分策略；精准匹配轨道交通潮汐业务特征，实现资源在高峰期的性能优先与低谷期的密度最大化；同时建立核心业务资源隔离墙与全链路风险管控机制，在确保行车安全与系统高可用的前提下，彻底解决资源闲置浪费与供需错配难题，最终达成硬件零扩容支撑业务倍增、运营成本显著降低、绿色能效全面提升的数字化转型目标。</t>
  </si>
  <si>
    <t>1. 架构创新：构建“业务感知型”动态超分模型，系统不再采用“一刀切”的超分比，而是深度耦合轨道交通业务的时间序列特征。
2.价值创新：定义轨交行业“绿色算力”新范式。通过超分技术在不增加物理服务器的前提下支撑业务翻倍增长，直接延缓硬件采购周期，在极低负载时段自动下电空闲物理节点，显著降低机房PUE值，为轨道交通行业树立“降本、增效、低碳”的数字化转型标杆。</t>
  </si>
  <si>
    <t>2026年3月30日</t>
  </si>
  <si>
    <t>1.通过超分技术使整体资源池的逻辑分配率达到200%-300%。
2.在高负载压力测试下，核心业务虚拟机的性能指标波动范围不超过±3%</t>
  </si>
  <si>
    <t>可将此技术应用于主中心现阶段部署算力服务器共计57台，通过CPU超分技术落地应用，可直接关停服务器22台。备件采购层面，由此可减少8台服务器的采购需求，单台服务器单价36万元，按15年设备使用寿命平摊，每年可节省设备成本19.2万元；能耗管控层面，单台服务器实际运行功率为550W，22 台服务器合计功率12.1kW，结合机房空调制冷与设备产热0.74的配比系数，22台服务器停机后每小时可节省电能21.05kW・h，按电费1元/度计算，每年可节省电费18.4万元。综上，通过超分技术实现服务器集约化运行，每年可累计节省设备与电费成本共计37.6万元，全生命周期可节省564万元。</t>
  </si>
  <si>
    <t>云平台弹性超分体系落地黄岛主中心云平台，精准解决了平台算力资源供需错配、冗余不足、能耗偏高的问题。技术应用达行业先进水平，既消除虚拟机漂移风险，保障 29 个生产业务系统稳定运行，又可关停 22 台服务器，同时实现绿色低碳运营，为轨交行业算力优化提供可复制范本，兼具显著运营效益、成本效益与社会效益。</t>
  </si>
  <si>
    <t>通信一部1</t>
  </si>
  <si>
    <t>基于智慧运维通信系统多维度健康度评估体系试点应用研究</t>
  </si>
  <si>
    <t>1.传统计划修模式的结构性弊端：当前通信设备维保以固定周期年检、季度检修、月度保养为主，检修计划与设备实际健康状态脱节，普遍存在“过度维修”与“维修不足”并存的问题，无法精准判断设备主要故障与隐患，提前开展设备检修，造成影响安全运营、客运服务的事件发生。
2.设备健康评估体系的单一化局限：现有设备状态判断多依赖单一性能指标越限告警、故障事后上报，缺乏对设备全生命周期状态的综合量化评估，无法实现设备健康度的精准分级与潜在风险的提前预判。
3.维修决策缺乏全要素数据支撑：传统维修决策高度依赖技术人员经验，未将设备告警等级、剩余寿命、备件供应情况、维修经济性、安全风险等级等多维度因素纳入决策体系，易导致“维修不不到位、备件无供应、风险不可控”的问题发生。
4.运维资源配置的低效化问题：固定周期的全覆盖巡检、检修模式，导致运维人力、物力资源向低风险、健康状态良好的设备过度倾斜，高风险设备的维保工作没有针对性，耗费大量人力成本，维修效率低下。
5.设备全生命周期管理的闭环缺失：设备从投用到报废的全生命周期数据分散在告警系统、检修台账、备件管理系统等多个台账中，数据存在信息“孤岛”未实现联动应用，无法为设备维保提供定制化的策略优化、更新换代决策依据。</t>
  </si>
  <si>
    <t>通过对专用通信各子系统设备评估，基于现有智慧运维系统的数据底座，构建多维度设备健康度评估体系构建，具体如下：
（一）健康度评估体系制定
结合通信专业设备特性，包括传输系统、公务电话系统、专用电话系统、无线通信系统、视频监视系统、广播系统、时钟系统、乘客信息系统、电源系统等 12 大类通信子系统、110 类设备，构建设备健康度评估指标体系，明确各指标的量化标准、权重分配、评分规则，实现设备健康状态的全维度覆盖。
1.设备告警信息维度：按紧急、严重、一般、轻微四个告警等级，统计设备周期内告警频次、告警持续时长、告警重复发生率，区分瞬时告警与持续性故障告警，设置差异化扣分权重与评分规则，量化告警对设备健康度的影响程度。
2.设备剩余寿命维度：基于设备出厂设计寿命、当前实际使用年限，结合行业设备老化规律，采用加速折旧法评估设备剩余寿命；同时叠加历史故障情况、检修频次对寿命的影响系数，修正设备实际老化程度，量化设备寿命损耗对健康度的影响。
3.核心部件性能维度：针对服务器、交换机、播控器、工控机等核心设备，采集内存使用率、CPU 占用率、硬盘使用占比、端口误码率、光功率衰耗、电源输出稳定性等核心运行参数，设置多级阈值区间，评估设备性能劣化程度，量化性能指标对健康度的影响。
4.历史检修情况维度：整合设备全生命周期历史检修记录，包括故障维修次数、大修 / 中修记录、核心部件更换记录、维保作业质量等数据，评估设备检修后的状态恢复程度、重复性故障的顽疾程度，量化历史检修对设备健康度的影响。
5.备件保障情况维度（近期手动）：对接备品备件管理系统，纳入设备核心备件的停产状态、现有库存数量与安全库存的匹配度、备件采购周期、替代备件可用性等指标，评估设备故障后的可修复性与保障风险，量化备件情况对健康度及运维决策的影响。
6.维修经济性维度（近期手动）：基于设备历史维修成本、当前设备残值、新设备采购价格，建立维修经济性评估模型，例如：以“维修成本不高于新采购设备价格的 40%”为核心阈值，评估设备的维修价值与更新换代经济性，量化成本因素对运维决策的支撑作用。
7运营安全影响维度：评估设备故障对行车安全、客运服务、运营秩序的影响等级，纳入设备是否存在未消除的安全隐患、故障发生后的影响范围、是否会造成运营事件等核心指标，量化安全风险对健康度分级与检修优先级的影响。
（二）设备健康度量化评估模型设计
基于上述体系，完成通信设备特性的健康度量化评估模型搭建，实现单台设备健康度值的自动化、实时化计算，为状态修提供核心数据支撑。
1.指标标准化处理：针对正向指标（数值越高健康度越好，如设备剩余寿命）、负向指标（数值越高健康度越差，如CPU占用率、告警频次）分别制定标准化算法，形成0-100分的标准化评分。
2.权重动态分配机制：采用“层次分析法 (AHP)+ 熵权法”结合的方式，确定 7 大维度及细分指标的基础权重；同时针对不同类型设备（如核心服务器、终端显示屏、传输节点设备）设置差异化权重体系，针对运营关键节点设备提升安全影响、告警信息维度的权重，确保模型应用的准确性。
3.健康度综合评分算法：构建加权综合评分模型，输出0-100分的设备健康度最终值，同时建立健康度分级标准，将设备健康状态划分为 5 个等级：
优秀（90-100分）：设备运行状态优异，无告警、性能指标正常，无安全风险；
良好（80-89分）：设备运行状态稳定，仅有轻微告警，性能指标在合理区间，无安全风险；
一般（70-79分）：设备出现一般告警，部分性能指标出现劣化趋势，无运营安全影响，需关注状态变化；
较差（60-69分）：设备出现严重告警，核心性能指标劣化明显，或备件保障不足、存在潜在安全风险，需安排专项检修；
危险（＜60分）：设备出现紧急告警，性能指标严重越限，存在重大安全隐患或无维修价值，需立即停机处置或更换。
（三）基于健康度的设备状态修策略体系与流程再造
以设备健康度分级为核心，彻底重构传统固定周期的检修模式，制定“分级分类、定制化、动态化”的状态修策略体系，逐步替代传统定时年检、季度检修等固定周期维保模式，实现“按需检修、精准运维”。
1.定制化检修策略制定：针对5个健康度等级的设备，制定差异化的检修内容、检修周期、作业方式，彻底打破“一刀切”的固定周期检修模式：
优秀（90-100分）：免现场年检、免月度常规巡检，仅通过智慧运维系统开展远程状态监测，年度开展1次资料性复核，无需现场作业；
良好（80-89分）：每半年开展1次精简版现场巡检，重点核查设备物理环境、基础运行状态，取消常规年检的全量检修项目；
一般（70-79分）：每季度开展1次针对性现场检查，重点跟踪劣化指标变化情况，排查告警原因，提前采取预防性维护措施；
较差（60-69分）：根据班组工作安排1个月安排专项检修，针对告警问题、性能劣化点开展精准处置，同步核查备件情况、评估维修方案，避免故障升级；
危险（＜60分）：立即启动应急处置流程，24小时内完成故障修复或设备更换，同步开展故障根因分析，避免同类问题重复发生。
2.流程再造
后续结合一体化平台、通信智能的全面应用，将健康度评估模型与现有工单管理系统、点巡检系统深度联动，实现“健康度异常自动预警→检修任务自动生成→工单智能派单→现场作业执行→结果回填→健康度模型自动优化”的全流程闭环管理。检修完成后，系统根据设备状态变化自动更新健康度评分，验证检修效果，形成数据闭环。
同时，针对健康度异常的设备，利用智能体+智慧运维，自动输出设备维修综合决策建议，给出预防性维护、专项维修、部件更换、整机更新的方案，解决传统经验决策的盲目性问题。
（四）项目试点验证与迭代优化
目前设备健康度评估模型已在6号线通信智慧运维平台搭建完成，根据设备运行情况和分值权重，正在持续优化中，后续根据现场应用效果逐步实现状态修模式的全面落地。</t>
  </si>
  <si>
    <t>1.全维度量化评估创新：首次构建了覆盖“告警信息、设备寿命、核心性能、历史检修、备件情况、维修成本、安全影响”7个维度的通信系统设备健康度评估体系，突破了传统单一指标、经验化判断的局限，实现了设备健康状态的精准量化与全生命周期刻画。
2.运维模式颠覆性创新：以健康度量化评估为核心，彻底重构了行业内通信系统沿用多年的固定周期计划修模式，建立了“按需检修、分级管控”的动态状态修体系，实现了从“定时年检”到“定制化状态检查”的根本性转变，填补了行业内通信专业全系统设备状态修落地应用的空白。
3.全要素决策融合创新：创新地将备件保障、维修经济性、运营安全影响等非运行类指标纳入设备健康评估与运维决策体系，打破了传统运维中“设备运行数据”与“管理资源数据” 的壁垒，实现了技术、成本、安全、资源多维度的协同决策，让运维决策更科学、更经济、更安全。
4.闭环运维体系创新：通过数据采集、设备健康度评估、运维策略生成、结果反馈、健康度自动更新，实现了运维数据的自循环、自优化，不仅解决了当下的运维痛点，更能通过数据持续沉淀不断提升运维智能化水平。</t>
  </si>
  <si>
    <t>1.完成通信全系统设备数据采集对接，覆盖告警数据、性能参数、设备台账、检修记录、备件数据、采购价格数据等健康度评估所需的全量数据源，数据采集协议适配 SNMP、TCP、Modbus、API 对接等多种方式，数据采集覆盖率 100%，无核心指标数据缺失。
2.完成数据标准化治理，健康度计算所需数据的准确率≥99%，数据更新频率满足使用要求。
3.健康度相关功能运行稳定，无重大功能故障、数据丢失、计算错误等问题，系统可用率≥99.9%。</t>
  </si>
  <si>
    <t>从人力成本节约、检修成本降低、设备寿命延长、故障损失减少等多个维度实现显著的经济效益，年直接经济效益合计约155万元，具体测算如下：
1.人力成本节约：通过基于设备健康评估体系状态修替代传统固定周期检修，年度检修工时可节约14502工时，减少37%，年节约人力成本约134.29万元，同时减少技术人员统计分析、台账填报等非生产性工作，年节约管理工时成本约 1200工时，年节约管理工时成本约11万元，合计年节约人力成本145.29万元。
2.检修与备件成本节约：避免过度维修带来的物料、工器具消耗，减少不必要的部件更换，避免无效维修支出，同时通过预防性维护减少核心部件突发损坏，降低备件采购、应急维修的额外成本，预估可节省10万元。
3.设备寿命延长带来的成本节约：通过精准的健康度管理与预防性维护，减少设备突发故障导致的不可逆损坏，延缓设备老化速度，预估延长设备平均使用寿命10%，推迟设备大修、更新换代的资金投入。
4.运营损失减少的间接效益：通过提前预警与精准运维，通信设备突发故障率下降30%以上，大幅减少因通信设备故障导致的运营中断、客运服务影响，避免因运营事件产生的经济损失与处置成本，提升客运服务质量。</t>
  </si>
  <si>
    <t>1.通过延长设备使用寿命，减少不必要的现场巡检、检修作业，降低运维人力成本。
2.实现通信设备运维从“粗放式管理”向“精细化、数据化管理”的转变，所有运维决策均有数据支撑，运维过程全流程可追溯、可管控。
3.通过多维度健康度评估，提前识别设备安全隐患，实现安全风险的闭环管控，从“被动整改”向“主动防控”转变，有效防范通信设备相关安全生产事故的发生。
4.通过保障乘客信息系统、广播系统、视频监控系统等服务类设备的稳定运行，减少因设备故障导致的服务中断，为乘客提供更优质、更稳定的出行服务，提升市民出行的幸福感与满意度。
5.本项目形成的通信设备状态修完整解决方案，可复制、可推广至全国轨道交通行业，为行业打破传统计划修模式、推进智慧运维转型提供可落地的实践经验，推动城市轨道交通运维行业的数字化、智慧化升级。</t>
  </si>
  <si>
    <t>中兴系统集成有限公司30%</t>
  </si>
  <si>
    <t xml:space="preserve">智慧综合技术
</t>
  </si>
  <si>
    <t>通信一部2</t>
  </si>
  <si>
    <t>智慧赋能・智慧车站场景创新拓展与提质迭代优化项目</t>
  </si>
  <si>
    <t>1.场景维度拓展不足：现有66个标准化应用场景仅覆盖日常运营作业与常规应急处置两大基础范畴，未涉及安全风险精准防控、绿色节能精细化管控等关键维度，场景覆盖的全面性、针对性不足。               2.功能迭代升级滞后：现有成熟场景未结合运营实际需求进行系统性优化，部分场景联动性、智能化水平不高，无法充分发挥智慧车站全站设备自动化、智能化联动控制优势。                                  3.安全防控存在短板：针对乘客擅自开启端门等安全隐患，缺乏实时预警与联动处置机制；火灾预警报警后，缺乏精准的画面联动与态势呈现，应急处置效率有待提升。</t>
  </si>
  <si>
    <t>1. 新增端门异常开启联动报警及可视化画面推送场景：针对乘客擅自开启端门的安全隐患，搭建端门状态监测与联动报警机制，实现端门违规开启时的实时预警，同步联动现场监控画面，将画面推送至智慧大屏及相关运维终端，确保运维人员第一时间掌握现场情况，快速处置隐患，实现隐患早发现、早处置。
2. 新增火灾预警/报警联动处置场景：对接车站烟感监测系统，当系统监测到烟感告警信号时，智慧大屏自动根据烟感点位精准定位，联动对应区域监控画面，实现火情态势可视化呈现，清晰展示火情位置、蔓延趋势，为火灾应急研判、人员调度及快速处置提供有力支撑，提升应急处置效率。
3. 优化现有安全场景4个：针对现有日常运营作业及常规应急处置场景，结合实际运营痛点，优化场景联动逻辑、响应速度及操作流程，提升场景的实用性和高效性，确保安全防控无死角。</t>
  </si>
  <si>
    <t>1. 场景维度创新，拓宽智慧应用边界：打破原有场景仅局限于日常运营与常规应急的局限，聚焦安全保障、节能降耗两大核心痛点，拓展新型应用场景，构建“安全+节能”双核心的场景体系，实现智慧车站应用场景的多维度延伸。
2. 联动逻辑创新，提升智能化水平：依托智慧运行对站内设备的控制权限和智慧车站系统的场景化灵活定制功能，优化设备联动逻辑，实现端门异常、火灾预警等场景的“监测-预警-联动-处置”闭环管理，提升场景的智能化、自动化水平。
3. 管控模式创新，实现节能精细化：创新车站能耗管控模式，通过车灯与区间照明联动升级、设备一键节能调度，实现能耗的按需管控、精准调度，打破传统粗放式能耗管理模式，提升能源利用效率。
4. 实用导向创新，贴合运营实际需求：所有场景拓展与优化均基于车站运营实际痛点，无需新增大量设备投入，依托现有智慧车站系统与设备资源，实现低成本、高实效的场景升级，可快速落地应用并发挥实效。</t>
  </si>
  <si>
    <t>1. 系统性能标准：智慧车站系统与新增、优化场景协同运行稳定，无重大故障（月故障次数≤1次），系统响应流畅，画面无卡顿、数据无丢失。                     2.累计完成现有场景优化4个、新增拓展场景8个，所有场景均已部署到位，可正常运行，覆盖安全保障、节能降耗两大核心维度。</t>
  </si>
  <si>
    <t>1. 降低运营能耗成本：通过区间照明智能联动、设备一键节能管控等场景应用，实现车站能耗的精细化管控，预计可降低全站运营能耗15%-20%，每年可节约能耗成本数十万元，长期效益显著。
2. 减少人力运维成本：通过场景智能化升级，实现安全隐患、设备故障的自动预警与联动处置，减少人工巡检、故障排查的工作量，预计可降低运维人力成本10%-15%，提升运维效率。
3. 降低安全处置成本：通过端门异常、火灾预警等场景的精准联动与快速处置，减少安全隐患扩大带来的设备损坏、运营中断等损失，降低安全处置相关成本，避免经济损失。
4. 节约场景建设成本：依托现有智慧车站系统与设备资源，无需新增大量硬件投入，实现低成本场景拓展与优化，相比新建场景，可节约建设成本30%以上。</t>
  </si>
  <si>
    <t>1. 提升车站运营安全水平：通过安全场景拓展与优化，实现安全隐患的早发现、早处置，有效防范端门违规开启、火灾等安全风险，保障乘客出行安全与车站运营秩序，提升地铁运营的安全性和可靠性。
2. 践行绿色低碳发展理念：通过节能降耗场景的创新应用，降低车站能源消耗，减少碳排放，践行绿色交通发展要求，助力“双碳”目标实现，树立地铁绿色运营标杆。</t>
  </si>
  <si>
    <t xml:space="preserve">
智慧综合技术
</t>
  </si>
  <si>
    <t>通信一部3</t>
  </si>
  <si>
    <t>数智溯・时钟源切换诊断平台</t>
  </si>
  <si>
    <t>1.为深入贯彻落实集团“数智地铁”战略部署，坚持问题导向、目标导向，聚焦一线运作流程中的堵点难点，深入基层开展系统调研，精准梳理日常运作问题，结合“三位一体”系统工作方法，实践减负、提效、赋能目标，系统推进人工智能与运作实践深度融合。
2.西海岸快线 LTE 系统存在网管监测机制不完善短板，GPS受扰后无主动网管告警提示，仅能依靠人工手动核查网管参数、人工口头核对数据，无智能筛选功能，运维智能化、自动化水平不足。一是全线基站月度统计工作。每月对全线68处基站，依托基站板卡日志统计月度GPS切换次数，2026年2月全线共计切换4800余次，以此判断单站GPS受扰程度。二是重点站点小时级分析工作。针对GPS频繁切换的重点站点（井冈山路站、盛海路站），基于月度查询结果，按天、小时统计切换次数，分析干扰规律，研究干扰源与受扰情况的关联关系。基于上述情况给班组运作带来一些痛点：一是查询耗时过长。重点站点每日查询60分钟，占用大量运维工时。二是工作量大且易出错。数据依赖人工统计、人工核对，存在数据遗漏、统计误差。三是运作影响。低效人工模式增加班组运营负担。</t>
  </si>
  <si>
    <t>1.针对一线员工在统计LTE基站GPS干扰次数中填报频繁、数据重复、统计烦琐等问题，彻底解决班组运维痛点，收集问题底层材料与关键字段，依托前端 Web 技术栈构建，无后端服务依赖，HTML5 + CSS3 搭建标准化页面结构，通过 CSS3 渐变、毛玻璃（Glassmorphism）等视觉效果实现科技感 UI，同时支持响应式布局，适配 PC 端不同分辨率屏幕，原生 JavaScript 实现核心业务逻辑，包括文件读取、日志内容解析、关键词匹配、时间维度统计、数据分页展示等，无框架依赖，运行轻量化；集成 SheetJS（xlsx）开源库，支持本地读取 / 解析 Excel（.xlsx/.xls）、CSV 格式日志文件，同时支持分析结果一键导出为 Excel 文件，全程无文件上传，数据本地闭环。建成数智溯・时钟源切换诊断平台，实现多格式日志解析、智能事件筛选、多维度统计分析、数据导出与留存、本地离线运行。</t>
  </si>
  <si>
    <t>1.轻量化创新：纯前端单文件架构，无需安装任何软件，维护人员可直接下载使用，零学习成本，开箱即用；
2.高效率降成本：替代人工逐条筛选日志的方式，分析效率提升 80% 以上，大幅降低维护人员重复劳动成本；
3.数据安全创新：全程本地处理日志文件，无需安装在生产网，办公电脑使用即可，无文件上传至云端 / 服务器，避免关键生产数据日志数据泄露风险；
4.兼容性创新：兼容主流浏览器（Chrome、Edge、Firefox 等），支持不同版本 Excel/CSV 文件解析，适配各类运维场景；
5.成本创新：无需服务器资源、无需运维维护，仅需分发 HTML 文件即可在班组内推广使用，降低企业工具落地成本；
6.场景创新：完全适用西海岸快线LTE系统日志GPS时钟源切换诊断需求，切合现场使用场景。</t>
  </si>
  <si>
    <t>1.自动抓取日志关键字段。直接从基站板卡日志中精准提取GPS/1588 切换相关关键信息，无需人工逐条翻阅，效率提升80%以上。
2.智能解析时间维度。自动识别并分析日期、时间点、时间段，支持按小时、按日、按月多维度统计。
3.一键生成统计结果。自动完成GPS切换次数、1588切换次数汇总统计，替代人工手动记录、口头核对、表格汇总等全流程操作，统计结果准确率100%。</t>
  </si>
  <si>
    <t>按照日统计用时60分钟，加月底分析汇总用时120分钟，共计月度用时33小时；应用软件后日统计用时10分钟，加月底分析汇总用时10分钟，共计月度缩减26小时以上，按照每小时70元计算，每年节省成本2.18万元</t>
  </si>
  <si>
    <t>1.效率大幅提升。重点站点日统计耗时缩减80%以上，全线月度核查工作量显著下降，月减少用时月26小时以上，释放大量运维人力。
2.数据准确可靠。实现统计正确率100%，彻底消除人工统计遗漏、错记、漏记等问题。
3.减轻班组压力。从“人工逐站核查、手动记录、反复核对”转变为 “工具一键查询、自动分析、直接输出”，有效降低班组运营负担，提升运维智能化水平。</t>
  </si>
  <si>
    <t>通信一部4</t>
  </si>
  <si>
    <t>基于虚拟化的服务器备件停产替代研究</t>
  </si>
  <si>
    <t>西海岸快线各核心业务系统均依赖浪潮系列服务器运行，该批服务器统一采用E52620V3 CPU，由于其整体硬件平台架构已停产多年，目前市场上相关备件（如CPU、主板、内存等）已完全断供，且受2026年服务器硬件市场价格暴涨、供应链紧张的影响，即便通过第三方渠道寻找二手或翻新备件，不仅成本极高，还存在稳定性差、故障率高的风险，无法保障系统长期可靠运行。
同时，各系统所使用的软件均基于该老旧硬件平台开发适配，与当前新型号服务器的操作系统、硬件架构存在严重兼容性问题，直接更换新型服务器会导致现有软件无法正常运行，且软件重构、适配的成本极高、周期极长，无法满足快线系统常态化运行的需求。上述问题已成为制约西海岸快线各系统稳定运维的关键瓶颈，若不及时解决，一旦现有服务器出现硬件故障，将导致相关系统停运，影响快线正常运营，造成不可预估的损失。</t>
  </si>
  <si>
    <t>本项目核心是通过虚拟化技术打破老旧硬件与现有软件的兼容性壁垒，充分利用现有闲置备件资源，实现服务器替用，具体实施内容如下：
1. 硬件资源梳理与整合：对1号线闲置的华为RH5885V3服务器备件进行全面检测、调试，筛选出性能完好、符合虚拟化平台搭建要求的硬件设备，完成硬件组装与初始化配置，充分盘活闲置资产，避免资源浪费，同时规避新型硬件采购的高昂成本。
2. 虚拟化平台搭建：选用免费开源的Proxmox VE （该系统基于Debian ，搭载长期支持的Linux 内核，支持硬件辅助虚拟化，兼容性强，且具备快照、克隆、高可用等核心功能，可满足老旧系统的运行需求），在华为RH5885V3服务器上完成虚拟化平台的部署、调试与优化，确保平台运行稳定、性能达标，其虚拟化损耗控制在合理范围，保障后续系统运行流畅度。
3. 系统迁移与适配：在搭建完成的虚拟化平台上，安装西海岸快线系统对应的服务器操作系统及业务软件，针对软件与虚拟化平台的适配问题进行针对性调试，优化资源分配，模拟实际业务场景进行全流程测试，确保各系统在虚拟化环境下的运行效果与原物理服务器一致，实现在发生故障时做到业务无缝迁移，保障系统功能不受影响。</t>
  </si>
  <si>
    <t>1. 模式创新：打破传统“按需采购、单点替换”的备件运维模式，摒弃对停产备件的依赖，创新性采用“新硬件+虚拟化技术”的组合方案，利用开源虚拟化平台的兼容性优势，实现老旧系统软件在新型硬件上的稳定运行，既解决了备件断供难题，又规避了商用虚拟化平台的高额授权成本，相较于VMware等商用平台，可节省大量授权费用。
2. 资源利用创新：构建跨线别、跨系统的备件共享体系，充分盘活1号线闲置的华为RH5885V3服务器备件，实现闲置资源的高效复用，解决各线别、各系统备件储备不足、资源浪费的问题，提升备件资源的利用率，降低整体运维成本，同时应对当前服务器硬件供应链紧张、价格暴涨的行业困境。</t>
  </si>
  <si>
    <t>1、完成PVE系统搭建。
2、完成西海岸快线PIS系统基于虚拟化的服务器搭建。</t>
  </si>
  <si>
    <t>1. 备件采购成本节约：原浪潮服务器（E52620V3 CPU）核心备件已停产，若通过第三方渠道采购二手/翻新备件，单台服务器核心备件（CPU、主板、内存）年均采购成本约1.5-2万元，按西海岸快线现有该型号服务器10台计算，年均备件采购成本约15-20万元。项目实施后，彻底无需采购该类停产备件，5年可节约备件采购成本75-100万元。结合2026年服务器内存等硬件价格暴涨40%-60%的现状，实际节约成本将进一步提升。
2. 新型服务器采购成本节约：若采用传统方案，更换新型服务器以替代老旧设备，单台兼容现有软件的新型服务器采购成本约8-10万元，10台需投入80-100万元。本项目利用现有闲置备件搭建虚拟化平台，无需采购新型服务器，直接节约设备采购成本80-100万元。
3. 虚拟化平台授权成本节约：选用免费开源的Proxmox VE，无需支付任何平台授权费用，相较于商用虚拟化平台（如VMware vSphere，单CPU插槽授权费用数万元），5年可节约授权费用30-50万元，大幅降低IT投入成本。</t>
  </si>
  <si>
    <t xml:space="preserve">关键设备一旦停产，若无可靠替代方案，极易导致系统停滞，甚至影响电客车正常运行。开展替代研究，能够提前布局、未雨绸缪，有效规避因原厂停供、国际封锁等外部冲击带来的生产中断问题，增强我国产业体系的韧性与自主可控能力 </t>
  </si>
  <si>
    <t>通信一部5</t>
  </si>
  <si>
    <t>基于设备利旧与网络复用的摄像机补盲降本增效研究实践</t>
  </si>
  <si>
    <t>1.1 现状痛点
当前轨道交通运营现场存在部分监控盲区，特别是在站外直梯等关键区域。现有监控系统覆盖不全导致：
安全隐患难以实时发现与追溯
突发事件缺乏有效视频证据支撑
乘客投诉处理缺乏客观依据
运营服务形象面临潜在舆情风险
1.2 核心需求
针对使用部门提出的补盲需求，亟需构建一套低成本、易实施、高兼容的监控补盲解决方案，重点解决：
传统补盲方案布线复杂、施工周期长的问题
新增设备采购及安装成本高昂的困境
现有网络资源利用率不足的浪费现象</t>
  </si>
  <si>
    <t xml:space="preserve"> 设备利旧优化方案
技术路径：
电源复用：充分利用既有摄像机电源线路，通过智能分电技术实现多设备共用供电系统
网络复用：依托现有百兆光纤收发器（光转）的空余带宽资源，采用VLAN划分与QoS保障机制，单台光转设备可承载4-8路高清摄像机数据流
设备适配：选用支持AC24V供电、H.264编码的枪型、半球型网络摄像机，确保与现有系统无缝对接
 网络架构升级策略
实施要点：
带宽动态分配：建立基于业务优先级的带宽调度模型，确保视频监控流量稳定传输
拓扑结构优化：采用星型+链式混合组网模式，降低单点故障影响范围</t>
  </si>
  <si>
    <t>1、布线复杂度：复用既有管线，施工量减少70%以上
2、资源利用率：充分挖掘百兆光转潜能，单设备承载能力提升300%
3、成本控制：单点成本降至0.35万元，降幅达76.7%
4、实施周期：缩短至2-3天/点位，效率提升200%</t>
  </si>
  <si>
    <t>完成整套方案研究，搭设环境测试。</t>
  </si>
  <si>
    <t>传统补盲方案：单点位综合成本约15,000元（含设备采购、管线敷设、安装调试等）
本优化方案：单点位综合成本约3,500元（主要支出为摄像机本体及少量辅材）
以全线网站外直梯177处盲区补盲需求为基准：
单点节约金额：15,000 - 3,500 = 11,500元
总节约金额：11,500元 × 177处 = 2,035,500元（约203.55万元）</t>
  </si>
  <si>
    <t>安全价值提升
风险防控：消除监控盲区，实现重点区域100%视频覆盖，显著降低安全事故发生概率
事件追溯：完整视频记录为事故调查、责任认定提供权威依据，有效规避法律纠纷
舆情管理：及时响应乘客诉求，避免因证据缺失引发的负面舆论发酵
服务形象优化
提升乘客安全感与满意度，强化"畅达幸福"品牌形象
展现运营单位主动排查隐患、持续改进服务的责任担当
 绿色低碳贡献
减少新建管线所需的管材等资源消耗
降低施工过程中的能源消耗与碳排放
践行"利旧优先"理念，符合循环经济导向</t>
  </si>
  <si>
    <t>通信一部6</t>
  </si>
  <si>
    <t>青岛地铁西海岸快线LTE系统车载通信终端迭代替代产品的选型与应用方案研究项目</t>
  </si>
  <si>
    <t>西海岸快线LTE系统车载终端TAU（含芯片）已经停产，尚有少部分备件维持故障维修，结合每年故障率以及后续新增车辆上线情况，预测备件仅能维持1-2年左右，急需提前寻找新的替代产品。本项目计划与天津七一二移动通信股份有限公司合作，在西海岸快线实施LTE系统车载终端更换试用工作，本次试装车载终端产品型号为TU1000，是专门为地铁列车与地面之间的无线通信而研制的，支持标准LTE的宽带接入和PIS数据的组播传输，支持车上信号系统和PIS/CCTV/车辆状态信息等综合业务数据的路由转发，支持PIS业务的主备功能。</t>
  </si>
  <si>
    <t>项目共配备3台TAU，分别安装于测试车辆司机室后方机柜。
测试步骤共分为“地面静态测试”、“试车线上车静态测试”和“正线动车测试”三个步骤。其中，“地面静态测试”可以验证现场环境下设备入网、以及各种网络配置是否可行。“试车线上车静态测试”可以验证TAU在正确配置后，车上实际业务是否可行。“正线动车测试”可以验证真实跑车环境下TAU设备的稳定性。具体测试车辆及车辆数量，均根据实际审批情况确定。
测试期间将测试产品安装固定后，开机测试，动车前确保网管能够PING通TAU设备、VOBC设备。动车后，通过登乘查看PIS直播业务是否正常、调度大厅查看车载CCTV业务是否正常、厂调查看车辆状态信息是否正常；电客车测试期间，以单网CBTC模式运行，查看是否产生紧制，动车后通过网管查看信令是否正常，测试结束后下载TAU数据进行丢失、时延分析。</t>
  </si>
  <si>
    <t>1、测试场景重构：模拟真实工况，强化极限验证。
测试局限于实验室标准环境，而是高度还原实际应用场景。如在正线夜间动车测试，获取设备试用现场各项数据，这种“实战化”测试模式有效验证了替代产品在复杂现场的可用性。
2、技术路径创新：从依赖原厂到主动主动寻找替代方案。
过去设备停产即意味着停产风险，企业只能被动寻找替代或清库存。如今，通过逆向思维、仿真验证、现场测试相结合，企业可打破对原厂图纸和技术参数的依赖，不仅实现功能替代，更在性能与使用寿命上实现超越 。</t>
  </si>
  <si>
    <t>0</t>
  </si>
  <si>
    <t>1、软SIM卡可进行配置；
2、TAU能够正常入网、驻网；
3、网管侧能够ping通TAU；
4、TAU功能及配置测试正常可行；
5、能正常进行CBTC数据存储，车载记录存储时间不少于17天，以实现与信号CBTC车载存储数据校验核对。
6、配置可导出、可还原；
7、日志能够通过网管正常抓取、下载；
8、网管能够监测各在线TAU；</t>
  </si>
  <si>
    <t>如TAU型号适用并在后续采购替代，单体设备采购单价缩减0.4-0.6万/台，按照每年5次故障，年节省2-3万，生命周期内（2025-2034年）共计节省约30万元。</t>
  </si>
  <si>
    <t>通信一部7</t>
  </si>
  <si>
    <t xml:space="preserve">
H3C交换机主控板卡版本兼容优化专项计划</t>
  </si>
  <si>
    <t xml:space="preserve">已经完成H3C交换机主控板卡版本不一致的通用性研究
</t>
  </si>
  <si>
    <t>传统H3C交换机主控板卡“版本碎片化、兼容性差、现场适配困难”的局限，主控板卡版本不一致、安装到现场无法使用、适配效率低、运维成本高的行业共性问题。</t>
  </si>
  <si>
    <t>新型号H3C交换机设备系统版本高于在用H3C交换机系统版本，交换机主控板卡无法直接用于现场设备，本项目立足H3C交换机运维管理核心痛点，突破传统主控板卡“版本碎片化、兼容性差、现场适配困难”的局限，以H3C交换机主控板卡版本通用性为核心研究方向，聚焦版本现状排查、通用性问题分析、适配方案研发、验证优化落地四大关键环节，构建标准化、规范化、可落地的主控板卡版本通用体系。项目整合版本检测、兼容性测试、固件优化等技术，打通H3C交换机主控板卡从版本排查、问题分析到适配落地的全流程研究链路，破解主控板卡版本不一致、安装到现场无法使用、适配效率低、运维成本高的行业共性问题，实现主控板卡跨型号、跨场景的版本通用，为H3C交换机安全稳定运行、高效运维提供全方位的技术支撑与管理参考。</t>
  </si>
  <si>
    <t xml:space="preserve">
1.建立H3C交换机主控板卡系统版本协同调试的自主能力，搭建全场景模拟测试平台，覆盖H3C全系列交换机主控板卡型号，自主完成固件升级、版本适配、故障复现与修复的全流程调试，形成标准化调试规范与故障解决方案库。
2.构建“升级降级全流程自动化机制”，整合版本校验、备份、升级/降级执行、重启验证、故障回退等全环节，实现自动化操作，当检测到版本不兼容、通过系统交换机主控板卡系统版本升降级解决。
3.突破主控板卡系统版本绑定的技术壁垒，打破传统“硬件型号与固定版本绑定”的限制，通过核心驱动自主适配技术，实现同一主控板卡可兼容多个主流系统版本，支持根据业务需求灵活切换版本，无需更换硬件即可实现功能升级，延长硬件使用寿命，降低用户硬件投入成本。
</t>
  </si>
  <si>
    <t>验收标准：不同版本的H3C交换机主控板卡在平台上可正常运行，功能正常。
完成依据：已在蓝谷快线蓝谷快线、庙石车站投用。</t>
  </si>
  <si>
    <t xml:space="preserve">
1.降低硬件与运维成本：通过版本通用适配，彻底解决版本不一致导致的板卡无法使用问题，避免板卡浪费、重复采购，预计可降低板卡采购成本30%以上；同时减少因板卡适配失败导致的现场返工、故障处置人力、物力成本，预计整体运维成本降低25%以上，有效节约资金投入。
2.提升部署效率，减少停工损失：实现主控板卡版本通用后，板卡安装前无需反复匹配版本、调试适配，部署效率提升60%以上，减少因板卡无法使用导致的网络部署停工、业务中断时间，降低因停工、中断造成的经济损失；同时减少固件升级、配置调试的时间成本，提升整体运维工作效率。
3.延长板卡使用寿命，降低更换成本：通过通用固件优化与标准化运维，减少因版本不兼容导致的板卡损耗、故障，延长主控板卡使用寿命，预计板卡平均使用寿命延长15%-20%，减少板卡更换频次，降低板卡更换、安装、调试等成本，间接创造经济效益。</t>
  </si>
  <si>
    <t xml:space="preserve">
1.规范版本管理，提升管理精细化水平：构建标准化的H3C交换机主控板卡版本管理体系，明确版本采购、部署、升级、运维等各环节的流程与标准，解决传统版本管理混乱、碎片化的问题，实现板卡版本管理从“粗放式”向“精细化”转型，提升运维管理的规范性与实效性。
2.提升系统稳定性，强化网络保障能力：通过版本通用适配与长效管理，减少因板卡版本不一致导致的网络故障、业务中断，预计年度板卡适配故障发生率同比下降40%以上，提升H3C交换机系统的稳定性与可靠性，确保网络通信持续正常运行，强化网络保障能力。
3.实现数据化管理，提升决策科学性：依托项目实施过程中积累的板卡版本数据、适配故障数据、运维数据，通过数据分析挖掘版本通用性优化规律、运维薄弱环节，为板卡采购、版本更新、运维计划制定等提供精准的数据支撑，实现管理决策的科学化、精细化，推动H3C交换机运维管理向数字化、规范化转型。
4.形成可复制经验，推动行业提升：通过本项目的研究与实施，形成一套成熟、可复制、可推广的H3C交换机主控板卡版本通用性研究方案与管理经验，适用于各类部署H3C交换机的场景，为行业内同类项目实施提供参考，推动网络设备板卡版本管理水平整体提升。</t>
  </si>
  <si>
    <t>通信二部1</t>
  </si>
  <si>
    <t xml:space="preserve">
线网大客流车站全域“智慧天眼”</t>
  </si>
  <si>
    <t>已经完成应急指挥中心建设项目</t>
  </si>
  <si>
    <t>1.解决各线路视频资源分散、无法集中统一查看的问题，实现跨线路视频集中汇聚。
2.解决应急指挥时无实时全景画面支撑、指挥决策滞后的问题，提升应急响应效率。
3.满足大客流组织、突发事件处置、联合调度指挥时可视化、远程化、一体化监控需求。</t>
  </si>
  <si>
    <t>传统管控模式无法有效对接轨道交通运营数据，缺乏与周边线路的客流联动分析能力，而通过本车站集中视频指挥中心，可实现2号线与蓝谷快线运营系统的无缝数据互通，实时查看线路的实时运营客流情况、列车到站频次、乘客换乘流向及客流峰值时段，提前预判客流汇入车站的高峰时段与人员规模，有效规避因客流集中涌入导致的管控压力陡增问题，彻底破解传统模式下客流预判滞后、管控被动的突出难题。</t>
  </si>
  <si>
    <t>本项目旨在打破传统单线独立、被动响应的管理壁垒，构建“平战结合、全域感知、智能预判、协同联动”的线网级大客流新模式。
1.依托统一的视频指挥平台，构建“看得见（实时画面）、听得清（语音对讲）、调得动（资源调度）”的扁平化指挥体系。
2.打通2号线与蓝谷快线线路的运营数据壁垒，实现车站周边的联动分析，提前预判换乘拥堵风险，将管理动作由“事后处置”前移至“事前预判”。
3.建立跨线路、跨区域的视频资源目录管理标准，创新“分级授权、按需调用”的共享机制，彻底解决各线路视频资源分散、无法统一调度的管理痛点，实现线网级视频资源的“一本账”管理。</t>
  </si>
  <si>
    <t xml:space="preserve">验收标准：在应急指挥室可查看各线路视频信号，图像清晰、无黑屏卡顿。
完成依据：已在台东、石老人应急指挥室投用。 </t>
  </si>
  <si>
    <t xml:space="preserve">1.减少应急处置时现场巡查人力投入，降低人工成本与通勤成本。
2.缩短突发事件处置时间，减少因大客流拥堵、处置不及时造成的运营影响。
3.集中化建设避免重复投资，提高设备利用率，节约后期改造费用。
</t>
  </si>
  <si>
    <t>1.充分利旧既有监控点位，盘活现有视频资源，提升设备使用价值。
2.构建专用传输通道，提升信号传输稳定性与安全性，延长系统使用寿命。
3.实现设备集中管理、统一运维，降低故障发生率，提高系统可用率。
4.在发生大客流或突发事件时，通过可视化平台实现指挥指令的秒级触达与现场情况的实时回传，大幅提升多部门、多线路协同处置效率，解决“盲区指挥”和“响应滞后”难题。</t>
  </si>
  <si>
    <t>安全应急技术
智慧综合技术
设备设施融合提升技术</t>
  </si>
  <si>
    <t>通信二部2</t>
  </si>
  <si>
    <t>基于LSTM算法的蓄电池AIoT预测性维护技术研究与应用</t>
  </si>
  <si>
    <t xml:space="preserve">当前正在进行蓄电池故障预警模型构建，并基于3号线专用通信同型号蓄电池实测数据进行训练与验证。后续开展预警阈值分级体系设计与可视化界面开发，并进行功能验证。
</t>
  </si>
  <si>
    <r>
      <rPr>
        <sz val="11"/>
        <rFont val="宋体"/>
        <charset val="134"/>
      </rPr>
      <t xml:space="preserve">1.现有监测系统功能缺失，运维模式被动滞后：地铁专用电源系统广泛采用阀控铅酸蓄电池作为应急后备电源的核心储能单元，其健康状态直接关系到地铁运营的安全与连续性。然而，现有监测系统仅能查看蓄电池的实时运行数据，缺乏数据记录与智能分析功能，无法对电池劣化过程进行早期识别与精准预警，运维模式仍依赖“到期整组更换”或故障发生后的被动处置。
</t>
    </r>
    <r>
      <rPr>
        <b/>
        <sz val="11"/>
        <rFont val="宋体"/>
        <charset val="134"/>
      </rPr>
      <t>2.特殊工况下传统方法难以捕捉失效趋势：</t>
    </r>
    <r>
      <rPr>
        <sz val="11"/>
        <rFont val="宋体"/>
        <charset val="134"/>
      </rPr>
      <t xml:space="preserve">地铁蓄电池长期处于“浮充备用、偶发放电”的特殊工况，性能退化过程缓慢、特征信号微弱，传统基于经验阈值或简单统计的监测方法难以有效捕捉其缓慢演化的失效趋势，无法实现故障的早期发现。
</t>
    </r>
    <r>
      <rPr>
        <b/>
        <sz val="11"/>
        <rFont val="宋体"/>
        <charset val="134"/>
      </rPr>
      <t>3.现有模型场景适配不足，工程落地难：</t>
    </r>
    <r>
      <rPr>
        <sz val="11"/>
        <rFont val="宋体"/>
        <charset val="134"/>
      </rPr>
      <t>现有数据驱动模型多面向数据中心或变电站场景，对地铁工况适配性不足，且往往依赖高维特征输入，难以与既有在线监测系统实现低成本对接。因此，亟需构建一套集数据采集、存储记录与智能分析于一体的蓄电池故障预警系统，实现从“事后处置”向“事前预警”的智能化转变。</t>
    </r>
  </si>
  <si>
    <r>
      <rPr>
        <sz val="11"/>
        <rFont val="宋体"/>
        <charset val="134"/>
      </rPr>
      <t xml:space="preserve">1.构建适配地铁场景的数据驱动预测模型：本项目围绕地铁VRLA蓄电池的故障预警需求，提出一种基于长短期记忆网络（LSTM）的时序预测模型，以可稳定在线采集的端电压与内阻作为核心输入特征，构建“数据驱动+物理约束+相位修正”的多步预测框架。项目首先针对地铁蓄电池“长期浮充、偶发放电”的运行特性，开展工况分析与特征筛选，确保模型输入与现场监测设备能力高度匹配，实现低成本、低门槛的工程化部署。
</t>
    </r>
    <r>
      <rPr>
        <b/>
        <sz val="11"/>
        <rFont val="宋体"/>
        <charset val="134"/>
      </rPr>
      <t>2.融合小样本学习与序列修正的创新策略：</t>
    </r>
    <r>
      <rPr>
        <sz val="11"/>
        <rFont val="宋体"/>
        <charset val="134"/>
      </rPr>
      <t xml:space="preserve">为提升模型在小样本场景下的泛化能力，项目引入迁移学习策略，利用多节电池的共性劣化特征进行预训练，再通过少量目标电池数据进行个性化微调，有效解决过拟合问题。同时，创新性地将动态时间规整（DTW）技术集成至预测修正流程，实现预测曲线与真实劣化节奏的精准同步，显著提升时序预测的对齐精度。
</t>
    </r>
    <r>
      <rPr>
        <b/>
        <sz val="11"/>
        <rFont val="宋体"/>
        <charset val="134"/>
      </rPr>
      <t>3.嵌入物理规约实现可操作的预警输出：</t>
    </r>
    <r>
      <rPr>
        <sz val="11"/>
        <rFont val="宋体"/>
        <charset val="134"/>
      </rPr>
      <t>在多步预测中嵌入基于历史劣化斜率的物理规约，确保预测结果符合电池性能缓慢衰减的客观规律，避免不合理波动。模型可输出内阻等多参数在设定阈值下的劣化趋势，精准预判电池达到预警阈值的时间节点，为运维人员提供明确、可操作的处置窗口期，实现从“被动处置”到“主动预警”的智能化转变。</t>
    </r>
  </si>
  <si>
    <r>
      <rPr>
        <sz val="11"/>
        <rFont val="宋体"/>
        <charset val="134"/>
      </rPr>
      <t xml:space="preserve">1.线网首创、场景适配性强：聚焦地铁VRLA蓄电池“长期浮充、偶发放电”的特殊工况，筛选电压与内阻两类可稳定获取的参数作为模型输入，与既有在线监测系统高度兼容，避免了高维特征依赖带来的工程落地障碍。
</t>
    </r>
    <r>
      <rPr>
        <b/>
        <sz val="11"/>
        <rFont val="宋体"/>
        <charset val="134"/>
      </rPr>
      <t>2.小样本学习与泛化能力协同优化：</t>
    </r>
    <r>
      <rPr>
        <sz val="11"/>
        <rFont val="宋体"/>
        <charset val="134"/>
      </rPr>
      <t xml:space="preserve">构建“预训练+微调”的迁移学习框架，实现从群体共性到个体特性的高效过渡，显著提升小样本场景下的模型泛化能力与预测稳定性。
</t>
    </r>
    <r>
      <rPr>
        <b/>
        <sz val="11"/>
        <rFont val="宋体"/>
        <charset val="134"/>
      </rPr>
      <t>3.时序预测精度与物理一致性双提升：</t>
    </r>
    <r>
      <rPr>
        <sz val="11"/>
        <rFont val="宋体"/>
        <charset val="134"/>
      </rPr>
      <t xml:space="preserve">首次将动态时间规整（DTW）引入预测序列的相位修正，解决预测滞后问题；同时嵌入基于劣化斜率的物理规约，使多步预测结果在统计学合理的同时，严格遵循电池老化的物理规律，规避不合理波动。
</t>
    </r>
    <r>
      <rPr>
        <b/>
        <sz val="11"/>
        <rFont val="宋体"/>
        <charset val="134"/>
      </rPr>
      <t>4.工程化预警机制完备：</t>
    </r>
    <r>
      <rPr>
        <sz val="11"/>
        <rFont val="宋体"/>
        <charset val="134"/>
      </rPr>
      <t>基于多步预测结果与分级阈值，实现电池劣化趋势的前瞻性判断，可精准预判达到预警阈值的时间节点，形成“趋势预测—阈值匹配—时间预判—运维干预”的闭环管理流程。</t>
    </r>
  </si>
  <si>
    <t>年底前拟完成一套基于LSTM算法的蓄电池AIoT智能预测系统搭建并进行现场试用</t>
  </si>
  <si>
    <t>1.构建完成基于LSTM的蓄电池故障预警模型，形成完整的算法模型代码。
2.模型在至少1条地铁线路的现场蓄电池监测数据上完成验证，满足工程应用阈值要求。
3.实现基于设定阈值的劣化趋势预测与预警功能。</t>
  </si>
  <si>
    <t>项目实施后可有效延长地铁VRLA蓄电池组的实际服役寿命，减少因“到期整组更换”带来的资源浪费，预计可降低蓄电池年度更换成本30%以上。同时，通过故障的早期识别与精准预警，可大幅减少因电池突发失效导致的应急抢修与非计划停运事件，降低人工巡检与故障处置频次，提升运维资源利用效率，为地铁电源系统的全生命周期精细化管理提供有力支撑。此外，本项目所有算法模型及配套软件均为自主研发，预计可节约软件采购及二次开发费用约20万元以上；核心算法模块具备自主知识产权，后续可复用至多条线路，边际研发成本趋近于零，进一步放大技术经济性。</t>
  </si>
  <si>
    <t>本研究成果将显著提升地铁专用电源系统的运行可靠性与应急保障能力，降低因蓄电池失效引发的通信、信号等关键系统供电中断风险，保障地铁运营安全与乘客出行体验。项目所构建的智能化预测维护模式，具备向轨道交通全线路推广的潜力，对推动城市基础设施运维由传统周期检修向数据驱动、预测性维护转型具有重要示范意义，符合智慧城轨与绿色低碳发展的总体方向。</t>
  </si>
  <si>
    <t>通信三部1</t>
  </si>
  <si>
    <t>基于环网业务融合与设备精简的消防无线系统传输架构优化技术应用</t>
  </si>
  <si>
    <t xml:space="preserve"> 已完成方案研究</t>
  </si>
  <si>
    <t>随着消防无线通信系统向宽带化、IP化演进，传统基于2M电路的传输方式已难以满足当前高带宽、高效率的业务承载需求。轨道交通公安专用传输系统中仍存在为2M业务独立配置的S385设备，占用机房空间、持续消耗能耗，且增加了系统运维复杂度与故障节点。亟需通过技术手段实现业务承载方式的平滑升级，精简传输节点，提升系统整体可靠性与资源利用效率。</t>
  </si>
  <si>
    <r>
      <rPr>
        <sz val="11"/>
        <rFont val="宋体"/>
        <charset val="134"/>
      </rPr>
      <t xml:space="preserve">本项目围绕消防无线系统传输链路开展架构优化，重点完成以下技术内容：
</t>
    </r>
    <r>
      <rPr>
        <b/>
        <sz val="11"/>
        <rFont val="宋体"/>
        <charset val="134"/>
      </rPr>
      <t>1.业务承载方式升级：</t>
    </r>
    <r>
      <rPr>
        <sz val="11"/>
        <rFont val="宋体"/>
        <charset val="134"/>
      </rPr>
      <t xml:space="preserve">将原有依托2M电路的消防无线业务，统一迁移至以太网传输通道，实现从TDM（时分复用）架构向分组交换架构的技术转型；
</t>
    </r>
    <r>
      <rPr>
        <b/>
        <sz val="11"/>
        <rFont val="宋体"/>
        <charset val="134"/>
      </rPr>
      <t>3.环网业务类型整合：</t>
    </r>
    <r>
      <rPr>
        <sz val="11"/>
        <rFont val="宋体"/>
        <charset val="134"/>
      </rPr>
      <t xml:space="preserve">对现有传输环网中的业务类型进行梳理与优化，提升环网带宽利用效率；
</t>
    </r>
    <r>
      <rPr>
        <b/>
        <sz val="11"/>
        <rFont val="宋体"/>
        <charset val="134"/>
      </rPr>
      <t>4.设备精简与下电：</t>
    </r>
    <r>
      <rPr>
        <sz val="11"/>
        <rFont val="宋体"/>
        <charset val="134"/>
      </rPr>
      <t xml:space="preserve">在业务平滑迁移基础上，停用并退网原用于2M业务的S385F-13设备，完成业务割接与设备安全下电；
</t>
    </r>
    <r>
      <rPr>
        <b/>
        <sz val="11"/>
        <rFont val="宋体"/>
        <charset val="134"/>
      </rPr>
      <t>5.运维能力提升：</t>
    </r>
    <r>
      <rPr>
        <sz val="11"/>
        <rFont val="宋体"/>
        <charset val="134"/>
      </rPr>
      <t>优化后的传输架构简化了故障定位路径，提升专用传输系统在面对异常时的处置效率与响应速度。</t>
    </r>
  </si>
  <si>
    <r>
      <rPr>
        <sz val="11"/>
        <rFont val="宋体"/>
        <charset val="134"/>
      </rPr>
      <t xml:space="preserve">业务承载方式的协议层跃迁：通过将2M电路业务整体迁移至以太网接口，实现从传统时分复用向分组交换的技术跨越，提升了系统对宽带业务的适配能力；
</t>
    </r>
    <r>
      <rPr>
        <b/>
        <sz val="11"/>
        <rFont val="宋体"/>
        <charset val="134"/>
      </rPr>
      <t>环网业务类型的融合优化：</t>
    </r>
    <r>
      <rPr>
        <sz val="11"/>
        <rFont val="宋体"/>
        <charset val="134"/>
      </rPr>
      <t xml:space="preserve">突破原有“业务类型绑定设备”的固化模式，通过环网逻辑重构实现多类型业务共网承载，减少专用设备占用；
</t>
    </r>
    <r>
      <rPr>
        <b/>
        <sz val="11"/>
        <rFont val="宋体"/>
        <charset val="134"/>
      </rPr>
      <t>“业务-设备-能耗”协同优化方法：</t>
    </r>
    <r>
      <rPr>
        <sz val="11"/>
        <rFont val="宋体"/>
        <charset val="134"/>
      </rPr>
      <t xml:space="preserve">在不影响业务连续性的前提下，实现设备精简、能耗压降与系统可靠性提升的协同目标，形成可复制、可推广的传输系统精简改造模式；
</t>
    </r>
    <r>
      <rPr>
        <b/>
        <sz val="11"/>
        <rFont val="宋体"/>
        <charset val="134"/>
      </rPr>
      <t>隐性资产盘活：</t>
    </r>
    <r>
      <rPr>
        <sz val="11"/>
        <rFont val="宋体"/>
        <charset val="134"/>
      </rPr>
      <t>将价值32.33万元的专用设备退出在线运行，释放机房空间与运维资源，提升存量资产使用效益。</t>
    </r>
  </si>
  <si>
    <t>计划2026年底前完成</t>
  </si>
  <si>
    <t>1.业务迁移与功能验证，2M业务向以太网业务平滑割接；
2.环网优化与设备下电，环网业务类型整合及1套S385F-13设备停运；
3.经济效益指标，资产盘活与节能降耗。</t>
  </si>
  <si>
    <r>
      <rPr>
        <sz val="11"/>
        <rFont val="宋体"/>
        <charset val="134"/>
      </rPr>
      <t xml:space="preserve">设备资产价值释放：停用S385F-13设备及板卡一套，原值32.33万元，可转为备件或统一处置，降低设备重复采购需求；
</t>
    </r>
    <r>
      <rPr>
        <b/>
        <sz val="11"/>
        <rFont val="宋体"/>
        <charset val="134"/>
      </rPr>
      <t>年度节电效益：</t>
    </r>
    <r>
      <rPr>
        <sz val="11"/>
        <rFont val="宋体"/>
        <charset val="134"/>
      </rPr>
      <t xml:space="preserve">设备运行功耗1236W，年节电约1.08万度；
</t>
    </r>
    <r>
      <rPr>
        <b/>
        <sz val="11"/>
        <rFont val="宋体"/>
        <charset val="134"/>
      </rPr>
      <t>运维成本压降：</t>
    </r>
    <r>
      <rPr>
        <sz val="11"/>
        <rFont val="宋体"/>
        <charset val="134"/>
      </rPr>
      <t>减少在网设备数量，降低故障处理频次、备件储备及日常巡检工作量，预计年节省运维人力与备件成本约1.5万元。</t>
    </r>
  </si>
  <si>
    <r>
      <rPr>
        <sz val="11"/>
        <rFont val="宋体"/>
        <charset val="134"/>
      </rPr>
      <t xml:space="preserve">生态效益：年节电1.08万度，折算减少二氧化碳排放约8.5吨，符合绿色低碳、节能降耗的发展导向；
</t>
    </r>
    <r>
      <rPr>
        <b/>
        <sz val="11"/>
        <rFont val="宋体"/>
        <charset val="134"/>
      </rPr>
      <t>社会效益：</t>
    </r>
    <r>
      <rPr>
        <sz val="11"/>
        <rFont val="宋体"/>
        <charset val="134"/>
      </rPr>
      <t xml:space="preserve">优化后的消防无线传输系统结构更简洁、故障节点更少，提升了轨道交通专用通信系统的运行可靠性，增强公共安全保障能力；
</t>
    </r>
    <r>
      <rPr>
        <b/>
        <sz val="11"/>
        <rFont val="宋体"/>
        <charset val="134"/>
      </rPr>
      <t>示范推广价值：</t>
    </r>
    <r>
      <rPr>
        <sz val="11"/>
        <rFont val="宋体"/>
        <charset val="134"/>
      </rPr>
      <t xml:space="preserve">项目形成了一套“业务升级—设备精简—能效提升”的传输系统优化路径，可为其他仍沿用传统2M承载方式的专用通信系统提供可复制、可推广的技术范例。
</t>
    </r>
  </si>
  <si>
    <t>自主化替代技术
绿色综合技术</t>
  </si>
  <si>
    <t>通信三部2</t>
  </si>
  <si>
    <t>基于“低空+AI”的轨道交通通信设施全息感知与智能诊断平台</t>
  </si>
  <si>
    <t xml:space="preserve">
1.“看不见”的隐患：传统人工巡检受限于视角、光线和专注度，对于隧道穹顶、高处设备等隐蔽部位的早期、微观缺陷（如卡扣应力形变）发现能力极弱，隐患长期潜伏。
2.“够不着”的风险：隧道、高架等封闭/高危环境下，人工巡检作业风险极高，安全保障成本巨大，且效率低下，已成为运营安全的巨大瓶颈。
3.“判不准”的困境：巡检结果严重依赖个人经验，缺乏数字化、标准化的评判体系。海量图像数据无法有效沉淀为知识资产，导致运维决策缺乏数据支撑，智能化转型困难。</t>
  </si>
  <si>
    <r>
      <rPr>
        <sz val="11"/>
        <rFont val="宋体"/>
        <charset val="134"/>
      </rPr>
      <t xml:space="preserve">本项目构建了“感、传、知、用”一体化的智能运维解决方案：
</t>
    </r>
    <r>
      <rPr>
        <b/>
        <sz val="11"/>
        <color indexed="8"/>
        <rFont val="宋体"/>
        <charset val="134"/>
      </rPr>
      <t>1.智能感知层（感）</t>
    </r>
    <r>
      <rPr>
        <sz val="11"/>
        <color indexed="8"/>
        <rFont val="宋体"/>
        <charset val="134"/>
      </rPr>
      <t xml:space="preserve">：基于无人机定点飞行技术，实现隧道及室外场景通信设备自动定点巡航与数据采集，突破空间限制，构建设备全景影像。
</t>
    </r>
    <r>
      <rPr>
        <b/>
        <sz val="11"/>
        <color indexed="8"/>
        <rFont val="宋体"/>
        <charset val="134"/>
      </rPr>
      <t>2.高速传输层（传）</t>
    </r>
    <r>
      <rPr>
        <sz val="11"/>
        <color indexed="8"/>
        <rFont val="宋体"/>
        <charset val="134"/>
      </rPr>
      <t xml:space="preserve">：依托5G专网/边缘计算网关，实现采集数据的高速、稳定、低延时回传至云端处理平台，保障诊断结果的实时性。
</t>
    </r>
    <r>
      <rPr>
        <b/>
        <sz val="11"/>
        <color indexed="8"/>
        <rFont val="宋体"/>
        <charset val="134"/>
      </rPr>
      <t>3.AI认知中枢（知）</t>
    </r>
    <r>
      <rPr>
        <sz val="11"/>
        <color indexed="8"/>
        <rFont val="宋体"/>
        <charset val="134"/>
      </rPr>
      <t xml:space="preserve">：核心构建了多模态融合AI诊断模型。基于深度学习方法，对线缆卡扣、天线状态等进行智能识别。模型具备增量学习能力，能够在运维过程中持续优化，精准诊断松动、形变等缺陷，并自动生成结构化诊断报告。
</t>
    </r>
    <r>
      <rPr>
        <b/>
        <sz val="11"/>
        <color indexed="8"/>
        <rFont val="宋体"/>
        <charset val="134"/>
      </rPr>
      <t>4.业务应用层（用）</t>
    </r>
    <r>
      <rPr>
        <sz val="11"/>
        <color indexed="8"/>
        <rFont val="宋体"/>
        <charset val="134"/>
      </rPr>
      <t>：打造数字运维平台，将诊断结果与设备模型、地理信息精准映射，实现设备健康状况一屏统览、隐患点位精准定位，形成运维闭环管理。</t>
    </r>
  </si>
  <si>
    <t xml:space="preserve">
1.算法应用创新：针对轨道交通细小部件，创新性地采用高精度实例分割模型，实现了对卡扣、天线等亚健康状态的早期、精准、量化诊断，远超“有无判断”的传统水平。
2.运维模式创新：打造了 “自动巡检-智能诊断-数字孪生-决策支撑” 的全新运维范式，推动地铁运维从“被动检修”到“主动预测性维护”的根本性转变，构建了行业新标准。</t>
  </si>
  <si>
    <t>完成系统搭建，实现无人机实时检测通信设备功能</t>
  </si>
  <si>
    <t>实现无人机自主巡检并检测通信设备是否异常，完成试点应用并记录</t>
  </si>
  <si>
    <t>1.直接降本：单次巡检作业效率提升500% 以上，人力成本降低80%（无需组建大型检修队伍进入隧道）。
2.风险规避：将设备故障从“事后维修”转变为“事前预警”，预计可减少30% 因通信设备故障导致的运营延误事件，间接挽回的运营损失及品牌声誉损失巨大。
3.资产增值：本项目生成的高精度数字资产库（数万张标注图像、设备三维模型）是未来实现全线AI运维、自动驾驶巡检的核心数据基石，战略价值显著。</t>
  </si>
  <si>
    <t>1.社会安全：从根本上杜绝了人员进入隧道、登高所带来的高危作业风险，是“科技强安”的典范实践，社会责任重大。
2.行业引领：为轨道交通、乃至大基建领域（如铁路、公路隧道、电力巡检）提供了可复制的智能化运维样板，助推整个行业的产业升级和技术变革。
3.绿色低碳：无人机电力驱动，全程零碳排放。通过提升效率，减少了传统巡检车辆、大量人力的调动，符合国家“双碳”战略，具备显著的生态效益。</t>
  </si>
  <si>
    <t>通信三部3</t>
  </si>
  <si>
    <t>基于YOLO算法的特殊乘客识别系统</t>
  </si>
  <si>
    <t>当前地铁客运服务在特殊乘客关怀方面存在两大盲区：
1.服务滞后性：传统服务模式依赖于乘客主动求助或站务人员肉眼发现。特殊乘客或因心理负担不愿开口，或因身处视觉死角而被忽略，导致服务响应延迟，错失最佳帮助时机。
2.数字化鸿沟：海量视频数据未被有效结构化利用，无法形成“乘客-需求-服务” 的数字化链接，限制了运营单位优化服务流程、精准配置资源的能力。</t>
  </si>
  <si>
    <r>
      <rPr>
        <sz val="11"/>
        <rFont val="宋体"/>
        <charset val="134"/>
      </rPr>
      <t xml:space="preserve">本项目构建了一套基于“精准采集、智能分析、实时响应”的智能视频分析系统，其核心流程包含三个环节：
</t>
    </r>
    <r>
      <rPr>
        <b/>
        <sz val="11"/>
        <color indexed="8"/>
        <rFont val="宋体"/>
        <charset val="134"/>
      </rPr>
      <t>1.视频采集与传输</t>
    </r>
    <r>
      <rPr>
        <sz val="11"/>
        <color indexed="8"/>
        <rFont val="宋体"/>
        <charset val="134"/>
      </rPr>
      <t xml:space="preserve">：
依托现有CCTV系统，实时采集高清视频流，并通过高效网络传输协议稳定推送至前端智能分析平台。
</t>
    </r>
    <r>
      <rPr>
        <b/>
        <sz val="11"/>
        <color indexed="8"/>
        <rFont val="宋体"/>
        <charset val="134"/>
      </rPr>
      <t>2.智能识别与分析：</t>
    </r>
    <r>
      <rPr>
        <sz val="11"/>
        <color indexed="8"/>
        <rFont val="宋体"/>
        <charset val="134"/>
      </rPr>
      <t xml:space="preserve">
前端智能分析平台深度融合YOLO深度学习目标检测算法，实现对动</t>
    </r>
    <r>
      <rPr>
        <b/>
        <sz val="11"/>
        <color indexed="8"/>
        <rFont val="宋体"/>
        <charset val="134"/>
      </rPr>
      <t>态画面的实时识别与分析。
3.实时报警与响应：</t>
    </r>
    <r>
      <rPr>
        <sz val="11"/>
        <color indexed="8"/>
        <rFont val="宋体"/>
        <charset val="134"/>
      </rPr>
      <t xml:space="preserve">
当系统识别到特定类别的特殊乘客时，将立即启动音频报警子系统，发出清晰、明确的语音提示，提醒站务人员及时查看。</t>
    </r>
  </si>
  <si>
    <t xml:space="preserve">1.服务模式创新：实现了从“被动响应”到“主动预见”的根本性转变，重塑了地铁客运服务的标准流程，是科技赋能人文关怀的典范。
2.技术手段创新：基于CCTV视频分析的智能识别技术，实现了从“人工巡查”到“自动侦测”的根本性转变，建立了特殊乘客实时发现与响应的服务新机制。
</t>
  </si>
  <si>
    <t>完成平台搭建，实现检测与报警功能。</t>
  </si>
  <si>
    <t>完成平台搭建，验证检测与报警功能是否正常。</t>
  </si>
  <si>
    <t>1.运营降本：以单条地铁线路计算，该系统可提升人力效率200%，使人力资源从“不间断巡哨”中解放出来，投入到更需要的服务中去，优化人力成本。
2.效能提升：将服务响应时间从“分钟级”缩短至“秒级”，大幅降低因服务不到位引发的乘客投诉与潜在纠纷风险，间接降低了运营管理的隐性成本。
3.品牌增值：该项目通过优化运营单位的服务流程，极大提升了地铁公司的公众形象和品牌美誉度，从而吸引更多客流量，创造无形价值。</t>
  </si>
  <si>
    <t>一、社会效益：
1.尊严出行：给予特殊乘客无差别的、有尊严的出行体验，体现了城市的温度与包容性，是“人民城市”理念的最佳实践。
2.标准示范：为全国乃至全球轨道交通的无障碍服务建设提供了可复制、可推广的智能化解决方案，具有显著的行业引领作用。
3.安全加固：实现对站内特殊人群的状态感知，在紧急疏散等场景下，可为救援力量提供关键信息支撑，提升公共安全水平。
二、生态效益：
资源优化：通过精准服务减少不必要的能源消耗，以智能化方式促进节能减排。</t>
  </si>
  <si>
    <t>通信三部4</t>
  </si>
  <si>
    <t>乘客信息系统数字信息预测运维平台</t>
  </si>
  <si>
    <t>1.运维模式被动：严重依赖“故障发生-乘客投诉/站务提报-调度派单-现场检修”的事后补救流程，平均处置时间长，直接影响客运服务质量与乘客体验。
2.资源配置低效：维护人力与物资配置基于固定周期或经验，无法与实时设备健康状态相匹配，常出现“过度维护”或“维护不足”，造成资源浪费或故障风险。
3.知识沉淀不足：海量的设备日志、故障数据以非结构化的形式沉睡，缺乏有效的分析手段将经验转化为知识，将知识转化为预判能力，运维团队能力提升陷入瓶颈。</t>
  </si>
  <si>
    <r>
      <rPr>
        <sz val="11"/>
        <rFont val="宋体"/>
        <charset val="134"/>
      </rPr>
      <t xml:space="preserve">本项目构建了“数据驱动、AI赋能、决策引领”的预测性运维新范式，其核心架构分为四层：
</t>
    </r>
    <r>
      <rPr>
        <b/>
        <sz val="11"/>
        <color indexed="8"/>
        <rFont val="宋体"/>
        <charset val="134"/>
      </rPr>
      <t>1.全息感知与数据融合层：</t>
    </r>
    <r>
      <rPr>
        <sz val="11"/>
        <color indexed="8"/>
        <rFont val="宋体"/>
        <charset val="134"/>
      </rPr>
      <t xml:space="preserve">打通并集成PIS系统各子元件的多源异构数据，包括设备履历、故障信息、历史工单、环境数据等，构建完整的设备健康状态画像。
</t>
    </r>
    <r>
      <rPr>
        <b/>
        <sz val="11"/>
        <color indexed="8"/>
        <rFont val="宋体"/>
        <charset val="134"/>
      </rPr>
      <t>2.智能诊断与预测层：</t>
    </r>
    <r>
      <rPr>
        <sz val="11"/>
        <color indexed="8"/>
        <rFont val="宋体"/>
        <charset val="134"/>
      </rPr>
      <t xml:space="preserve">利用算法与深度学习策略深度挖掘数据特征，精准识别性能退化趋势与早期异常。多模态AI预测模型：并非单一模型，而是融合了统计分析、机器学习、深度学习的集成模型，对乘客信息系统关键部件进行剩余有用寿命预测和故障概率计算。
</t>
    </r>
    <r>
      <rPr>
        <b/>
        <sz val="11"/>
        <color indexed="8"/>
        <rFont val="宋体"/>
        <charset val="134"/>
      </rPr>
      <t>3.决策优化与仿真层：</t>
    </r>
    <r>
      <rPr>
        <sz val="11"/>
        <color indexed="8"/>
        <rFont val="宋体"/>
        <charset val="134"/>
      </rPr>
      <t xml:space="preserve">基于预测结果和分析结果，在虚拟数字孪生体中进行维修策略仿真推演。利用运筹优化算法，动态生成最优维修方案：包括维修时机建议、备件需求预测，实现从“预测出问题”到“决策如何做”的飞跃。
</t>
    </r>
    <r>
      <rPr>
        <b/>
        <sz val="11"/>
        <color indexed="8"/>
        <rFont val="宋体"/>
        <charset val="134"/>
      </rPr>
      <t>4.精准执行与反馈闭环层：</t>
    </r>
    <r>
      <rPr>
        <sz val="11"/>
        <color indexed="8"/>
        <rFont val="宋体"/>
        <charset val="134"/>
      </rPr>
      <t>生成动态数据，通过PC端直达一线维修人员，并提供故障诊断指南、历史案例参考。维修结果数据反向回流至系统，形成自我学习、自我优化的闭环，持续提升模型精准度。</t>
    </r>
  </si>
  <si>
    <t>1.方法论创新：首次在部门层级将预测性运维体系与数字信息应用技术深度融合于轨道交通PIS领域，实现了运维模式从“工业2.0”到“工业4.0”的跨越式升级尝试。
2.技术集成创新：搭建了 “多源信息整合 -&gt; 时序模型性能趋势预判 -&gt; 机器学习故障归类 -&gt; 运筹策略决策优化” 的全流程技术体系，达成从数据感知到智能决策的端到端闭环。
3.价值模式创新：将运维数据从“成本中心”转化为“价值资产”，通过数据驱动不仅降低了运维成本，更通过保障PIS系统高效运行，提升了客运服务这一核心业务的收入与品牌价值。</t>
  </si>
  <si>
    <t>完成平台搭建，实现相关功能并形成有关报告</t>
  </si>
  <si>
    <t>直接降本：
1.效率提升：故障处理效率提升一倍，故障处理时间减少25%，折算年均节约人力成本约 2.1万元。
2.备件库存优化：基于精准的备件需求预测，可降低15%-20% 的备件库存占用资金。
间接增收：
1.故障率降低：通过早期干预，预计可将重大故障发生影响降低30%以上，避免因PIS大面积瘫痪导致的客运秩序混乱及潜在的客流损失。
2.设备寿命延长：配合精准维护可延长核心设备使用寿命10%-15%，延迟资本性支出。</t>
  </si>
  <si>
    <t>社会效益：
1.提升市民出行体验：保障PIS系统99.9%的高可用性，为乘客提供准确、及时的导乘信息，消除出行不确定性，是智慧城市、智慧交通的直观体现。
2.赋能行业数字化转型：本项目是整个轨道交通行业的运维数字化的重要组成部分，具有极高的可复制性、扩展性和推广价值，一定程度上助力交通强国战略。
生态效益：
1.绿色运维：通过数据分析进行预测性维护，引导未来智慧决策，避免了因设备突然损坏造成的生产浪费和二次维修，减少了物料消耗，符合绿色低碳的发展理念。
2.电子化减碳：无纸化决策流程和既有数据的数字信息化的全面推行，减少了纸张消耗，践行企业社会责任。</t>
  </si>
  <si>
    <t>通信三部5</t>
  </si>
  <si>
    <t xml:space="preserve"> AI 赋能的车载 PIS 与车载台日志实时传输及智能诊断系统</t>
  </si>
  <si>
    <t>1.处置时效性差：车辆运行时，关键设备日志无法实时上传至网管终端。人员无法及时了解运行状态，故障必须待回库后插线取证，处置时效性极差。
2.专家经验依赖与诊断效率低下：故障分析高度依赖个人经验，人工翻阅杂乱日志，效率低下且容易误判漏判.
3.运维模式被动：传统“事后维修”模式无法预知故障，导致正线运营列车突然宕机，不仅打乱运营计划，更严重影响乘客体验与城市形象。</t>
  </si>
  <si>
    <r>
      <rPr>
        <sz val="11"/>
        <rFont val="宋体"/>
        <charset val="134"/>
      </rPr>
      <t xml:space="preserve">本项目构建了“车-地-云”一体化的车载系统健康管理体系，其核心在于：
</t>
    </r>
    <r>
      <rPr>
        <b/>
        <sz val="11"/>
        <color indexed="8"/>
        <rFont val="宋体"/>
        <charset val="134"/>
      </rPr>
      <t>1.数据实时感知能力：</t>
    </r>
    <r>
      <rPr>
        <sz val="11"/>
        <color indexed="8"/>
        <rFont val="宋体"/>
        <charset val="134"/>
      </rPr>
      <t xml:space="preserve">突破性利用车地无线传输技术（如5G-DSRC），在车辆运行过程中即可将车载台、PIS等设备的全量日志、性能指标数据实时、低延时地传输至地面中心，彻底打破处置慢的问题。
</t>
    </r>
    <r>
      <rPr>
        <b/>
        <sz val="11"/>
        <color indexed="8"/>
        <rFont val="宋体"/>
        <charset val="134"/>
      </rPr>
      <t>2.智能诊断能力：</t>
    </r>
    <r>
      <rPr>
        <sz val="11"/>
        <color indexed="8"/>
        <rFont val="宋体"/>
        <charset val="134"/>
      </rPr>
      <t xml:space="preserve">平台对实时传入的数据流进行即时清洗、归类与特征提取。我们使用智能AI诊断引擎，用于解析非结构化的日志文本，识别错误代码和异常关键字。
</t>
    </r>
    <r>
      <rPr>
        <b/>
        <sz val="11"/>
        <color indexed="8"/>
        <rFont val="宋体"/>
        <charset val="134"/>
      </rPr>
      <t>3.决策支持与可视化能力：</t>
    </r>
    <r>
      <rPr>
        <sz val="11"/>
        <color indexed="8"/>
        <rFont val="宋体"/>
        <charset val="134"/>
      </rPr>
      <t xml:space="preserve">系统自动生成诊断报告，精准定位故障，并给出维修建议。
</t>
    </r>
  </si>
  <si>
    <t>1.模式创新：将运维从“事后回溯”彻底转变为“事中干预”与“事前预警”，实现了运维模式的代际跨越。
2.技术创新：攻克了移动环境下大文件的实时可靠传输技术难题，创新性地对大文件进行切割，并创新性地构建了复合AI诊断模型，实现对复杂故障的精准、快速根因分析。
3.价值创新：将运维数据从“成本负担”转化为驱动运营安全的核心生产要素，不仅提升了效率，更通过保障列车正线稳定运行，守护了城市的运营秩序与公共服务品牌。</t>
  </si>
  <si>
    <t>绘制电路原理图和PCB图，打印硬件板。借助AI完成接口、信号的转换软件和日志分析软件。</t>
  </si>
  <si>
    <t>完成软硬件联调，实现相关功能</t>
  </si>
  <si>
    <t xml:space="preserve">
1.效率提升：故障处理效率提升252倍，将平均故障处理时间从“数小时”缩短至“分钟级”，单次故障节省人工成本约240元。
2.人力优化：工班人员每日无效行走路程减少2公里，将其精力释放出来用于更重要的预防性维护工作，年均节约人力成本约1.1万元。
3.保障正线运营：极大减少因车载设备故障导致的列车下线、清客、延误事件，保障了正点率，避免了因运营中断导致的票务收入损失和巨额罚款。
</t>
  </si>
  <si>
    <t>社会效益：
1.提升乘客体验：确保PIS系统稳定可靠，为乘客提供不间断、高可信度的导乘信息，消除旅途焦虑，提升公众出行幸福感，是“交通强国”战略的微观体现。
2.保障运营安全：对车载台（关键通信设备）的故障实时监控，为行车安全提供了至关重要的通信保障，社会价值巨大。
生态效益：
绿色运维：通过精准维修和远程诊断，减少了技术人员前往现场的次数，直接降低了交通碳排放。
无纸化办公：全流程电子化工单，减少了纸张消耗，践行了企业的绿色与社会责任（ESG）。</t>
  </si>
  <si>
    <t>智慧综合技术
自主化替代技术</t>
  </si>
  <si>
    <t>通信三部6</t>
  </si>
  <si>
    <t>跨线录音系统异构融合与资源池化应用研究</t>
  </si>
  <si>
    <t>1.解决3号线录音主机老化、故障率上升所带来的语音业务追溯中断风险
2.解决原设备停产、备件断供背景下，整体更换成本高、周期长、影响大的现实困境
3.打破单线录音系统“各自为战”的孤立运维模式，消除跨线录音资源无法共享调用的管理壁垒
4.避免因设备换代导致的网管重复建设与人员重复培训，降低系统演进过程中的组织成本</t>
  </si>
  <si>
    <r>
      <rPr>
        <sz val="11"/>
        <rFont val="宋体"/>
        <charset val="134"/>
      </rPr>
      <t>1.现状与痛点：单线录音系统老化困局</t>
    </r>
    <r>
      <rPr>
        <sz val="11"/>
        <color indexed="8"/>
        <rFont val="宋体"/>
        <charset val="134"/>
      </rPr>
      <t xml:space="preserve">
随着地铁运营年限持续增长，3号线通信系统录音设备进入老化高发期，主机故障率明显上升，直接影响调度指挥、应急处置等关键语音业务的全程可追溯性。更为严峻的是，原设备型号已全面停产，无替代备件可用。若按传统方式整体更换为新型录音系统，将面临高昂的设备采购成本、配套网管系统重复部署、人员重新培训等一系列问题，资源投入大、实施周期长、运维复杂度显著增加。
</t>
    </r>
    <r>
      <rPr>
        <b/>
        <sz val="11"/>
        <color indexed="8"/>
        <rFont val="宋体"/>
        <charset val="134"/>
      </rPr>
      <t>2.技术路径：异构平台打通与资源整合</t>
    </r>
    <r>
      <rPr>
        <sz val="11"/>
        <color indexed="8"/>
        <rFont val="宋体"/>
        <charset val="134"/>
      </rPr>
      <t xml:space="preserve">
项目突破单线设备独立运维的传统思路，以资源整合与资产盘活为导向，深入研究3号线既有录音系统制式与接口协议，充分利用8号线录音主机现有备件资源，打通3、8号线录音系统之间的数据链路。通过协议适配、数据库改造、通道映射等技术手段，在8号线电话系统录音中完成对3号线电话系统录音数据的接入与统一管理，实现跨线路、跨制式录音平台的融合互联。
</t>
    </r>
    <r>
      <rPr>
        <b/>
        <sz val="11"/>
        <color indexed="8"/>
        <rFont val="宋体"/>
        <charset val="134"/>
      </rPr>
      <t>3.核心突破：统一监测与集中纳管</t>
    </r>
    <r>
      <rPr>
        <sz val="11"/>
        <color indexed="8"/>
        <rFont val="宋体"/>
        <charset val="134"/>
      </rPr>
      <t xml:space="preserve">
经多轮技术测试与验证，项目成功实现在8号线无线系统网管终端上对3号线无线系统各通道录音数据的监测，并支持对录音数据进行实时监听、检索、下载与导出。运维人员无需维护两套独立平台，大幅降低管理复杂度。
</t>
    </r>
    <r>
      <rPr>
        <b/>
        <sz val="11"/>
        <color indexed="8"/>
        <rFont val="宋体"/>
        <charset val="134"/>
      </rPr>
      <t>4.融合成效：以存量盘活替代全线更换</t>
    </r>
    <r>
      <rPr>
        <sz val="11"/>
        <color indexed="8"/>
        <rFont val="宋体"/>
        <charset val="134"/>
      </rPr>
      <t xml:space="preserve">
本项目在不更换3号线录音主机、不重建网管系统、不开展大规模培训的前提下，借助存量备件与系统融合手段，实现了录音功能的延续与统一纳管。形成了“异构融合、存量盘活、集中运维”的旧线录音系统改造新模式，为后续其他老旧线路同类设备的更新换代提供了可复制、可推广的技术路径。</t>
    </r>
  </si>
  <si>
    <r>
      <rPr>
        <sz val="11"/>
        <rFont val="宋体"/>
        <charset val="134"/>
      </rPr>
      <t xml:space="preserve">1.异构平台跨线融合：首次实现不同线路、不同制式录音系统在数据层面的统一接入与集中管理，打破设备代际与线路边界
</t>
    </r>
    <r>
      <rPr>
        <b/>
        <sz val="11"/>
        <rFont val="宋体"/>
        <charset val="134"/>
      </rPr>
      <t>2.以存量资源替代全线改造</t>
    </r>
    <r>
      <rPr>
        <sz val="11"/>
        <rFont val="宋体"/>
        <charset val="134"/>
      </rPr>
      <t xml:space="preserve">：不依赖原厂整体替换方案，通过备件复用与系统适配，探索出低成本、低影响的旧线录音系统延续路径
</t>
    </r>
    <r>
      <rPr>
        <b/>
        <sz val="11"/>
        <rFont val="宋体"/>
        <charset val="134"/>
      </rPr>
      <t>3.数据库级录音迁移机制</t>
    </r>
    <r>
      <rPr>
        <sz val="11"/>
        <rFont val="宋体"/>
        <charset val="134"/>
      </rPr>
      <t xml:space="preserve">：在录音系统中通过数据库改造实现对电话、无线录音的跨线调度，实现录音资源的跨系统平滑迁移
</t>
    </r>
    <r>
      <rPr>
        <b/>
        <sz val="11"/>
        <rFont val="宋体"/>
        <charset val="134"/>
      </rPr>
      <t>4.统一纳管运维模式</t>
    </r>
    <r>
      <rPr>
        <sz val="11"/>
        <rFont val="宋体"/>
        <charset val="134"/>
      </rPr>
      <t>：将多套独立录音系统整合为单一管理界面，显著降低运维复杂度，为通信系统跨线资源整合提供实践范例</t>
    </r>
  </si>
  <si>
    <t>完成录音迁移</t>
  </si>
  <si>
    <t>1. 直接采购成本节约
避免3号线录音系统整体更换所需的高额投入。经测算，若按传统方式更换全新录音主机及配套网管系统，设备采购费用约为 32万元，配套网管服务器及软件授权约15万元，合计可节约一次性资本性支出 约47万元。
2. 培训与实施成本节约
避免新系统上线后的人员培训与网管重建。原方案需对调度、运维等约 40名 相关人员进行新系统操作培训，培训周期约 3天，按人均培训成本 2500元 计算，可节约培训费用 约10万元。同时避免网管系统重新部署带来的 2周 实施周期及8万元技术服务费用。
3. 备件资产盘活效益
充分利用8号线录音主机备件资源，盘活存量资产 约12万元（按原备件采购价值估算），避免了备件闲置与资源浪费，提高了固定资产利用效率。
4. 运维人力成本节约
实现3、8号线录音系统统一纳管后，运维人员由需同时维护两套独立平台缩减为仅维护一套平台，按年均节约 1.5人月 工作量计算，折合运维人力成本节约 约3万元/年，长期运营中持续产生节约效益。
5. 综合经济效益汇总
项目累计可节约一次性投入 约65万元，每年持续节约运维成本 约3万元，投资回报周期显著，投入产出比高</t>
  </si>
  <si>
    <t>1. 故障率降低与追溯保障
3号线原录音主机月均故障 约2-3次，故障期间语音业务追溯中断，存在运营安全风险。本项目实施后，录音系统可用性提升至 99.9%以上，关键语音业务追溯覆盖率达到 100%，有效保障调度指挥与应急处置的全程可追溯性。
2. 应急处置响应效率提升
统一纳管后，跨线录音调取时间由原先需分别登录两套系统、平均耗时 约15分钟 缩短至 3分钟以内，应急处置录音调取效率提升 80%，为故障快速定位与事后分析提供有力支撑。
3. 运维管理集约化提升
运维人员需监控的录音系统平台数量由 2套 整合为 1套，日常巡检时间由 约2小时/天 缩减至 0.5小时/天，月均运维工时节约约30小时，运维人员可腾出精力投入其他专项工作，实现人力资源优化配置。
4. 推广价值与模式复制
本项目形成的“异构融合、存量盘活、统一纳管”改造模式，可在 1、2号线等同样面临设备老化问题的线路 直接复制推广。按全线推广估算，整体可节约类似改造成本 超200万元，为后续老旧线路通信系统更新提供了可复用的技术路径与实施经验</t>
  </si>
  <si>
    <t>绿色综合技术
设备设施融合提升技术</t>
  </si>
  <si>
    <t>通信三部7</t>
  </si>
  <si>
    <t>供电基础设施跨系统共享整合模式创新与自主实施</t>
  </si>
  <si>
    <t>1. 安全风险：消除语音业务追溯中断隐患
解决3号线录音主机老化、故障率上升所带来的语音业务追溯中断风险，确保调度指挥、应急处置等关键语音业务的全程可追溯性，筑牢运营安全底线。
2. 成本困境：规避高额整体更换投入
解决原设备停产、备件断供背景下，整体更换成本高、周期长、影响大的现实困境，避免因设备换代带来的巨额资本性支出与实施压力。
3. 管理壁垒：打破单线孤立运维模式
打破单线录音系统“各自为战”的孤立运维模式，消除跨线录音资源无法共享调用的管理壁垒，实现跨线路、跨系统的资源整合与统一调度。
4. 组织成本：避免网管重复建设与人员重复培训
避免因设备换代导致的网管系统重复建设与人员重复培训，降低系统演进过程中的组织成本与人力投入，实现平滑过渡与集约化管理。</t>
  </si>
  <si>
    <r>
      <rPr>
        <sz val="11"/>
        <rFont val="宋体"/>
        <charset val="134"/>
      </rPr>
      <t xml:space="preserve">1. 精准把脉：系统性容量评估与方案设计
项目初期对青岛北站派出所现有UPS系统的负载容量、冗余度、供电质量、电池健康状态等进行全维度精密测算与评估。通过负载特性分析、谐波检测、峰值负荷模拟等手段，科学验证安保控制中心关键负载接入的可行性与安全性，为后续整合奠定坚实的数据基础与技术依据。
</t>
    </r>
    <r>
      <rPr>
        <b/>
        <sz val="11"/>
        <rFont val="宋体"/>
        <charset val="134"/>
      </rPr>
      <t>2. 架构重构：高可靠供电体系自主搭建</t>
    </r>
    <r>
      <rPr>
        <sz val="11"/>
        <rFont val="宋体"/>
        <charset val="134"/>
      </rPr>
      <t xml:space="preserve">
在充分评估基础上，自主优化既有供电架构，将安保控制中心全部关键负载（含监控系统、门禁系统、通信设备等）无缝切换并接入至派出所UPS系统。通过精细化配电保护设计，实现新增负载与原系统负载的动态平衡与隔离保护，确保接入过程“零扰动、无感切换”，不影响任何既有业务连续运行。
</t>
    </r>
    <r>
      <rPr>
        <b/>
        <sz val="11"/>
        <rFont val="宋体"/>
        <charset val="134"/>
      </rPr>
      <t>3. 技术攻坚：跨系统链路贯通与适配</t>
    </r>
    <r>
      <rPr>
        <sz val="11"/>
        <rFont val="宋体"/>
        <charset val="134"/>
      </rPr>
      <t xml:space="preserve">
针对两套独立供电系统在配电柜接口、线缆规格、空开容量、接地方式等方面的差异，自主开展线缆路径优化、空开精准选型、配电柜改造适配等技术攻关，攻克跨系统供电整合中的物理层与电气层难题，打通资源共享的“最后一公里”。
</t>
    </r>
    <r>
      <rPr>
        <b/>
        <sz val="11"/>
        <rFont val="宋体"/>
        <charset val="134"/>
      </rPr>
      <t>4. 成果固化：标准化模式提炼与推广</t>
    </r>
    <r>
      <rPr>
        <sz val="11"/>
        <rFont val="宋体"/>
        <charset val="134"/>
      </rPr>
      <t xml:space="preserve">
项目在实施过程中同步形成跨系统供电整合的技术规范、操作流程与安全标准，将成功经验转化为可复制、可推广的标准化成果，为后续其他站点同类整合提供完整技术指引与实施样板。</t>
    </r>
  </si>
  <si>
    <t>1. 模式创新：打破壁垒，构建共享供电新范式
突破传统各系统独立配置UPS的资源壁垒，首创“安保控制中心与派出所跨系统供电资源融合”模式。通过自主实施、精准适配，将两套独立供电系统整合为一，实现基础设施从“条块分割”向“资源共享”的根本性转变，为解决老旧设备更新提供了全新思路与标杆路径。
2. 技术突破：自主实施，掌握核心改造能力
不依赖外部厂商，完全依靠内部技术力量完成线缆路径优化、空开选型、容量分析、配电改造等全流程工作，形成自主可控的供电系统整合技术能力，为后续类似项目降低外部依赖、压缩实施周期奠定技术基础。
3. 管理跃升：绿色节能与智慧运维双轮驱动
停用一台老化UPS及配套蓄电池组，直接降低能源消耗与碳排放，实现绿色节能目标。同时，将原本需要维护的两套系统精简为一套，减少运维对象数量，推动运维模式从“多点分散维护”向“单点集中管控”转变，实现从“硬件维护”到“智慧管控”的跨越式提升。
4. 价值重构：降本增效与可靠性提升协同并进
通过架构性创新，在显著降低采购成本与运维投入的同时，大幅提升供电系统的可靠性与冗余度。将单一节点故障风险转化为共享资源池的协同保障能力，实现成本优化与可靠性提升的双重价值目标。</t>
  </si>
  <si>
    <t>完成安保控制中心UPS整合</t>
  </si>
  <si>
    <t>1. 直接采购成本节约
避免安保控制中心UPS主机及蓄电池组的整体更换投入。经测算，若按传统方案更换同容量等级UPS主机（约8万元）及配套蓄电池组（约6万元），可直接节约一次性设备采购支出约14万元。
2. 运维成本持续节约
停用一台老化UPS及蓄电池组后，每年减少的设备维护、巡检、备件储备、故障处理等运维工作量折合 约2人月/年，按人均运维成本 1.2万元/月 计算，年运维成本节约 约2.4万元。同时，蓄电池组更换周期延长，未来5年内可节约电池更换费用约3万元。
3. 能源消耗降低
停用老化UPS设备后，该设备自身能耗及散热能耗同步消除。按老化UPS年均耗电 约5000千瓦时 计算，年节约电费 约0.4万元，同时减少配套空调节能损耗，综合年节能效益约0.6万元。
4. 综合经济效益汇总
项目累计节约一次性投入约14万元，未来5年累计节约运维及能耗成本约15万元，合计综合经济效益约29万元。投资回收周期极短，投入产出比显著。</t>
  </si>
  <si>
    <t>1. 安全保障：筑牢地铁公共安全基石
通过供电系统可靠性提升，确保安保控制中心关键设备不间断运行，为地铁公共安全提供更坚实、更可靠的电力保障。供电可用性提升至 99.99%以上，安保业务连续性覆盖率达到 100%，从根本上消除供电中断对安保体系的威胁。
2. 标杆示范：打造可复制的“青岛地铁经验”
本项目成功打造了跨系统供电资源整合的标杆案例，为全线网乃至全国轨道交通行业提供了可复制、可推广的整合模式与技术路径。经验成果可在线网内直接复制推广，具有广泛示范价值。
3. 运维转型：推动智慧运维体系建设
通过减少运维对象数量、降低管理复杂度，推动供电运维从“被动抢修”向“主动预防”转变，从“多点分散”向“集中管控”升级，为构建智慧运维体系提供实践基础与经验支撑。
4. 绿色引领：践行低碳运营社会责任
停用老化高能耗设备、减少蓄电池使用，直接降低碳排放。按年节约用电5000千瓦时计算，年减少二氧化碳排放约2.8吨，为青岛地铁绿色低碳运营贡献实际成效，体现企业的环保责任担当。</t>
  </si>
  <si>
    <t>2026年9月31日</t>
  </si>
  <si>
    <t>通信三部8</t>
  </si>
  <si>
    <t>7号线站台门智慧运维优化研究</t>
  </si>
  <si>
    <t>已完成优化方案研究报告</t>
  </si>
  <si>
    <t>基于7号线工程项目增设站台门智慧运维系统，结合该线路站台门设备特点和现状，从数据全域感知、巡视检修流程优化、故障高效处置、业务决策智能化等方面入手，系统性梳理运营需求并研究智慧优化解决方案，以更好的推动智慧运维系统建设相关工作开展，最终实现站台门智慧运维更好用、更实用。</t>
  </si>
  <si>
    <t>基于7号线工程项目增设站台门智慧运维系统，4、6 号线已有站台门智慧运维实施经验，但在故障点位监测、部件预警管理、与运维业务融合等方面仍有很大提升空间，7号线智慧运维建设改造要在既有线建设及经验基础上进一步完善，同时考虑到1号线北段（7号线一期）智慧运维建设面临设备软件升级测试、新增传感器后数据采集、原厂数据开放度、与 EAM 等业务系统协同融合等难点， 因此进行7号线站台门智慧运维优化研究，系统梳理形成优化方案，以更好的推动相关工作开展，最终实现站台门智慧运维更好用、更实用。</t>
  </si>
  <si>
    <t>以运营需求为导向，从替代人工巡视检修、降低故障率、提高故障应对能力、班组具体业务支撑四大方面详细梳理需求清单，结合线路站台门设备现状，研究梳理数据采集、预警算法、复杂故障原因自动定位、班组与部门管理业务赋能等技术方案及实现路径，为后期智慧运维系统建设改造工作提供理论基础，作为既有线智慧运维建设工作推动和过程管控的重要抓手。</t>
  </si>
  <si>
    <t>已完成，形成研究报告</t>
  </si>
  <si>
    <t>形成站台门智慧运维优化研究报告</t>
  </si>
  <si>
    <t>通过智慧运维系统实现修程优化和巡检模式转变，实现人员编制缩减，预期节省人力成本约267万元/年</t>
  </si>
  <si>
    <t>1.通过系统开展设备巡视，释放日常巡视人力，提升巡视效率；
2.通过系统实现故障接报和分析处置，提升故障响应及处置效率；
3.集成融合EAM系统、安全系统、线网智慧仓储系统、维修管理系统业务数据，提供一站式业务支持
4.形成的监测点位清单、数据接入方式等后续线路可直接借鉴应用</t>
  </si>
  <si>
    <t>弱电一部1</t>
  </si>
  <si>
    <t>综合监控服务器停产替代改造研究</t>
  </si>
  <si>
    <t>已完成综合监控工作站安装1号线、西海岸快线综合监控服务器软件程序测试。</t>
  </si>
  <si>
    <t>伴随着现场综合监控服务器累计投用时间逐年增长，与原综合监控软件适配的服务器及操作系统逐渐停产、升级，新服务器及系统不再支持原综合监控软件。为此研究原综合监控软件适配的操作系统及服务器，拓宽服务器备件来源。</t>
  </si>
  <si>
    <t>研究综合监控系统服务器停产后，使用其它品牌型号服务器、工作站进行替代的可行性，并形成服务器系统重建手册.</t>
  </si>
  <si>
    <t>以技术创新为手段，研究软件操作系统及硬件服务器可替换性，解决综合监控服务器停产导致备件采购困难问题</t>
  </si>
  <si>
    <t>完成系统重建手册</t>
  </si>
  <si>
    <t>完成综合监控软件在其它服务器或工作站上系统重建。</t>
  </si>
  <si>
    <t>1.解决了综合监控系统核心部件停产后带来的备件短缺问题，延长设备系统服役使用周期，延长系统大修间隔。</t>
  </si>
  <si>
    <r>
      <rPr>
        <sz val="11"/>
        <rFont val="宋体"/>
        <charset val="134"/>
      </rPr>
      <t xml:space="preserve">
</t>
    </r>
    <r>
      <rPr>
        <sz val="10"/>
        <rFont val="宋体"/>
        <charset val="134"/>
      </rPr>
      <t xml:space="preserve">自主化替代技术
</t>
    </r>
  </si>
  <si>
    <t>弱电一部2</t>
  </si>
  <si>
    <t>基于雷达参数与门控逻辑优化的无人驾驶线路站台间隙安全防护系统效能提升方案</t>
  </si>
  <si>
    <t>青岛地铁6号线无人驾驶线路列车与站台门间隙探测系统存在误报警频繁影响运行效率，联动弹门处置效率低，影响运营效率等问题。6号线开通以来，间隙探测共发生设备误报警89起，其中倒查视频未能发现异物的62起，能够查明异物报警原因的27起，设备稳定性不足，对运营维保和运作专业处置带来较大压力。</t>
  </si>
  <si>
    <t>本项目针对青岛地铁6号线无人驾驶线路列车与站台门间隙探测系统存在误报警频繁、联动弹门处置效率低等问题，进行如下提升：
一是通过雷达检测参数优化调整与站台门DCU控制程序升级，降低设备误报率，重构报警联动逻辑；已完成试验验证，明确施工流程、职责分工、风险管控及应急回退措施，实现间隙探测系统精准、高效、稳定运行，全面适配无人驾驶线路运营需求；
二是增加雷达报警的预警功能，多次出现不满足报警输出条件的进行弹窗预警，提前开展排查处理；
三是通过获取高湿度雷达误检回波信号的特征，并据此修改激光探头底层检测算法，降低雷达误报警频率；
四是通过管理和技术两个维度开展毛絮等漂浮物治理专项工作：1.4-6月开展毛絮专项排查，2.利用双月检对雷达探头、后封板以及门楣底部进行清洁，3.优化报警算法，针对毛絮漂浮特性，对1-2个报警点，快速移动的点位进行过滤；</t>
  </si>
  <si>
    <t xml:space="preserve">1.功能优化：一是雷达异常预警，可有效减少故障报出，提升运营质量二是间隙探测异物时仅报警并切断安全回路，异物消失后自动恢复，滑动门不再联动弹门，提升运营效率，杜绝因弹门造成的二次伤害；
2.效率提升：单次报警处置节约弹门、关门及雷达重启时间约7.5秒，显著提升无人驾驶线路运营效率；
3.运行稳定：大幅降低小微漂浮物、门体轻微晃动等原因造成的误报警，系统容错率与可靠性显著提升。
4.赋能一线：通过以上措施可减少间隙探测误报故障，减轻设备故障指标给一线带来的工作压力，减少检修人员登高作业，降低检修人员人身安全风险。
5.团队和谐：减轻工作负荷与加班频次，设备故障的突发特性会大幅增加一线员工的额外工作量，故障减少后，一是检修人员无需频繁中断常规巡视、检修作业而投入到故障处置中，减少加班及体力消耗；二是检修人员可将工作重点投入到常规检修维护上，工作节奏可控；三是减少跨中心、部门之间额外协同、沟通成本，使工作更加高效，减少多方联动带来的精力损耗。
</t>
  </si>
  <si>
    <t>完成方案实施</t>
  </si>
  <si>
    <t>完成系统升级</t>
  </si>
  <si>
    <t xml:space="preserve">无 </t>
  </si>
  <si>
    <t>解决设备误报警，赋能一线，促进团队和谐，加强员工关爱，减轻工作带来的精神压力，创造和谐的工作氛围。</t>
  </si>
  <si>
    <t xml:space="preserve">安全应急技术
智慧综合技术
</t>
  </si>
  <si>
    <t>弱电一部3</t>
  </si>
  <si>
    <t>7号线一期站台门系统升级改造研究</t>
  </si>
  <si>
    <t>初步完成升级改造方案</t>
  </si>
  <si>
    <t>针对1号线东郭庄-兴国路站站台门系统运营现状，为适配 7号线GoA4级全自动运营目标，计划通过升级改造增设间隙探测、实现对位隔离功能等，解决现有站台门与信号系统协同联动不足、自动化作业能力欠缺等问题，完成站台门系统软硬件优化升级，实现全流程自动化作业，保障7 号线自动驾驶顺利落地。</t>
  </si>
  <si>
    <t>对1号线东郭庄-兴国路站12个车站站台门系统开展升级改造，围绕门体、间隙探测、电源、控制、智慧运维五大核心系统实施改造。门体系统完成固定门拆装、加装瞭望灯带及安全回路复视灯；间隙探测系统全域增设 576 套间隙探测装置，实现列车与站台门间隙异物检测；电源系统改造蓄电池柜提升供电容量；控制系统完成 PSL 拆除安装、PSC 柜改造、工控机 / PEDC/DCU 软件升级，新增间隙探测综合控制柜，实现对位隔离功能及与信号系统精准联动；智慧运维系统新增数据采集设备并完成与云平台、大数据、机电平台的对接调试，所有施工均在夜间开展并制定全流程风险管控及运营保障措施。</t>
  </si>
  <si>
    <t>1.功能创新：增设间隙探测系统实现列车-站台门间隙异物智能检测，升级控制系统实现对位隔离功能，适配GoA4级全自动运营，完成站台门与信号系统精准协同联动，实现开关门、报警停机等全流程自动化作业；
2.施工创新：针对夜间施工、不影响既有线路运营的要求，制定分点位、分阶段施工方案，配套完善的回退机制和运营保障措施，实现改造与运营的无缝衔接；
3.系统融合创新：同步升级智慧运维系统，实现站台门设备全维度数据采集，完成与云平台、大数据平台、机电平台的多端对接，打造 “改造 + 运维” 一体化系统，为全自动运营提供数据支撑；
4.技术适配创新：参考 4、6 号线实施经验，结合7号线一期设备现状优化改造方案，对DCU、PEDC 等核心部件进行定制化升级，新增数据采集接口满足智慧运维需求，提升设备智能化水平</t>
  </si>
  <si>
    <t>完成7号线一期东郭庄-兴国路站 12 个车站站台门系统升级改造，实现间隙探测、对位隔离功能，站台门系统满足 GoA4 级全自动运营要求，通过功能验证及专家评审</t>
  </si>
  <si>
    <t>1.实现7号线 GoA4 级全自动运营目标，提升地铁运营自动化、智能化水平，优化乘客出行体验；
2.建立站台门系统夜间升级改造的全流程风险管控和运营保障体系，为地铁既有线设备升级改造提供可复制、可借鉴的实施经验；
3.打造一体化智慧运维体系，实现站台门设备状态实时监控、故障精准预警，提升设备运维效率和可靠性；
4.改造后设备与信号系统精准联动，降低人工干预成本，提升地铁运营的安全性和稳定性。</t>
  </si>
  <si>
    <t>设备设施融合提升技术、智慧综合技术、安全应急技术</t>
  </si>
  <si>
    <t>弱电一部4</t>
  </si>
  <si>
    <t>提质增效-逆变模块技术重构创新项目可行性研究</t>
  </si>
  <si>
    <t>已购入逆变模块，正在进行改造同步编写立项书</t>
  </si>
  <si>
    <t>一是2号线、西海岸快线逆变模块单价高达14513元，经统计平均每年消耗4个，支出约6万元；二是解决原逆变模块断电后无法0毫秒级切换电源的设计缺陷；三是解决车站距离较远检修人员无法响应其他故障及检修的员工关爱问题。</t>
  </si>
  <si>
    <t>一是供应链优化，对逆变模块脱单可行性研究。逆变模块为单一来源，单价为14513元，价格过于昂贵，近四年年均消耗量4个，运维成本过高；二是运维提效，逆变模块稳定性提升可行性研究。因供电检修倒切作业频繁，逆变模块输出不稳定导致发生故障，检修人员须现场确认设备状态，造成人力增加和工作效率损失；三是成本控制，高架车站人力配置优化可行性研究。高架车站相对距离较远且偏僻，末班车检修人员打车难导致无法参与其他站检修，如遇到突发状况也存在检修人员无法响应的风险，增加了人力成本和风险成本；四是可持续适配，逆变模块停产替代可行性研究。自2020年起，后续线路站台门专业工控机、瞭望灯带均已弃用直流逆变交流方案，已改用直流110V供电，存在逆变模块停产风险。若现有逆变模块停产，会造成备件短缺导致的故障处置困难。</t>
  </si>
  <si>
    <t>一是供应链优化，对逆变模块脱单可行性研究；二是运维提效，逆变模块稳定性提升可行性研究；三是成本控制，高架车站人力配置优化可行性研究；四是可持续适配，逆变模块停产替代可行性研究。</t>
  </si>
  <si>
    <t>样机完成改造</t>
  </si>
  <si>
    <t>经统计近四年，2号线共计消耗6个，西海岸快线共计消耗9个，合计15个，年均消耗约4个，单价14513元，合计58052元。采用新方案后，单价为1350元，按年均4个原逆变模块消耗数据核算，合计5400元，每年节约逆变模块支出52652元。</t>
  </si>
  <si>
    <t>解决设备缺陷，赋能一线。加强员工关爱，创造和谐氛围。彻底解决设备零部件停产隐患，实现风险可控</t>
  </si>
  <si>
    <t>弱电一部5</t>
  </si>
  <si>
    <t>三期全自动线路站台门电源系统优化专题研究</t>
  </si>
  <si>
    <t>基于既有线路站台门电源柜设计方案，从节约成本、风险管控以及设计合理性方面入手开展技术调研，目前正处于调研梳理阶段</t>
  </si>
  <si>
    <t>一是空开设计不合理，解决同负荷下的模块损坏导致上级空开跳闸造成同负荷下所有模块失电的缺陷；二是成本方面，同行业对标，对多余的空开、模块等部件进行删减，节约建设成本；三是空开型号与现场实际电流等参数不匹配问题，对接设计复核空开型号适配合理性；</t>
  </si>
  <si>
    <t>一是节约成本方面，对冗余空开删减可行性研究。针对数据库中的冗余空开，逐一核查其设计初衷与当前实际功能，判断是否存在 “设计冗余”或 “运维冗余”，明确删减后是否影响现有设备供电逻辑；通过模拟断电测试，验证删减冗余空开后，剩余空开能否覆盖原有保护范围，是否存在 “保护盲区”；同时评估删减过程对在运设备的影响，制定断电窗口期与应急供电预案；二是风险管控方面，关键模块空开加装可行性研究。根据目标模块的额定电流、电压等级、短路电流耐受值等技术参数，筛选适配的空开型号，确保空开的额定电流、分断能力与模块及回路参数匹配，避免出现 “过保护”或 “欠保护”问题；通过现场测试，验证加装空开后，当模块发生短路、过载等故障时，空开能否快速可靠跳闸，且仅切断故障模块回路，不影响上级负荷及其他正常模块运行，确保故障影响范围控制在最小程度；三是行业对标方面，对电源柜部件存在合理性研究。借鉴国内北京、上海、广州地铁运营成熟城市电源优化改造项目，重点调研其在模块配置、空开选型、回路设计等方面的创新点与实践效果，总结可借鉴的经验与教训；与国内顶尖轨道交通设计院开展技术交流，了解当前电源柜设计的最新标准、趋势及对部件合理性的评价指标。</t>
  </si>
  <si>
    <t>一是节约成本方面，对冗余空开删减可行性研究；二是风险管控方面，关键模块空开加装可行性研究；三是行业对标方面，对电源柜部件存在合理性研究。</t>
  </si>
  <si>
    <t>解决设备缺陷，提高工作效率，赋能一线。加强员工关爱，创造和谐氛围。</t>
  </si>
  <si>
    <t>弱电一部6</t>
  </si>
  <si>
    <t>低空安防天枢协同巡检项目</t>
  </si>
  <si>
    <t>已完成无人机安防设备巡视场景梳理</t>
  </si>
  <si>
    <t>一是解决车辆段作业人员巡检安防设备过程中存在登高、中暑、冻伤等安全风险的问题，通过无人机巡视替代传统人工巡检，从源头降低现场作业安全隐患。
二是减少B2类检修作业计划，改成更为灵活的B3类作业计划，有效提升检修组织效率与现场响应速度。
三是解决盖板螺栓松动等关键部位人工巡检识别难度大、易遗漏的问题，依托无人机图像状态识别功能，实现重点部位隐患精准识别、高效排查。</t>
  </si>
  <si>
    <t>项目立足提质增效、节约人力成本的目标，研发激光对射低空自动化巡检工装，在大田车辆段开展试点应用。项目通过无人机与遥控接收器协同配合，构建低空自动化巡检作业模式，实现对安防设备的无线报警检测，高效完成激光对射设备的巡视与功能测试。
一是创新采用无人机无线遥控技术，通过搭载无线遥控模块，远程控制安防设备的无线启停，实现无接触式巡检与隐患排查，大幅降低现场作业安全风险，提升巡检作业效率。
二是引入无人机无线监测与智能识别技术，利用机载摄像头采集巡检区域图像，融合机器视觉与深度学习算法，实现螺栓区域自动精准定位、松动特征智能提取与运行状态自动判别，对异常状态实时识别并输出报警信息，推动巡检作业由人工判断向智能化、自动化转变。</t>
  </si>
  <si>
    <t>1.通过操纵无人机无线遥控模块，完成控制安防设备的无线启停，无接触地实现设备巡检和隐患排查。
2.引入无人机无线监测技术，通过摄像头采集区域图像，采用机器视觉+深度学习技术，实现螺栓区域自动定位、松动特征提取与状态判别，自动识别并输出报警状态。</t>
  </si>
  <si>
    <t>完成研究场景的可行性分析。</t>
  </si>
  <si>
    <t>形成场段安防设备巡视等研究场景的验证分析。</t>
  </si>
  <si>
    <t>之前每条故障处理最少需3人，投用后，单次可减少2名检修工，每年节省费用约0.6万元。</t>
  </si>
  <si>
    <t>1.投用后大幅提升登高区域日常巡检、巡视效率，降低安防设备异常故障发生频率。
2.消除巡视时登高人员的受伤风险。
3.可在后续三期线路推广此工程，提高安防设备的稳定性，降低设备的故障率。</t>
  </si>
  <si>
    <t>弱电二部1</t>
  </si>
  <si>
    <t>智能低耗高可靠站台门电磁锁研发及产业化应用</t>
  </si>
  <si>
    <t>针对现有地铁 2 号线站台门电磁锁在实际应用中暴露的系列技术缺陷，解决设备故障率高、影响行车安全的行业痛点，具体包括：传统电保持提锁模式下，线圈长时间通电、频繁通断电引发的铁屑吸附、过热、磁力下降、烧毁及磁化问题；衔铁与线圈绕组分体式设计、密封程度低，导致内部灰尘、铁屑堆积，卡阻提落锁且人工清洁难度大、效果差的问题；弹簧易疲劳断裂、弹力不足引发的设备故障，以及线圈寿命短、性能衰减快、待机功耗高的问题；设备性能一致性差，易出现功能不稳、误动作，影响站台门运行可靠性和行车安全的问题。</t>
  </si>
  <si>
    <t>本项目研发一款智慧型站台门电磁锁，通过结构创新、电气控制创新及密封设计优化，打造适配地铁站台门的新型电磁锁产品，核心研发内容如下：
核心结构设计：研发由锁座、双绕组电磁铁控制锁芯、机械式微动开关、时间继电器、电解电容组成的新型电磁锁整体结构，将锁芯与电磁铁一体密封封装，配合定制调整后的锁钩实现门扇可靠锁闭；
双绕组电磁铁应用：采用双线圈绕组 + 永磁体 + 衔铁 + 外壳的双绕组电磁铁设计，通过电气控制线圈正反向得电改变电磁铁铁心状态，实现提落锁及自保持功能；
电气控制系统开发：搭建由 DCU（门控单元）控制的电气回路，利用脉冲信号替代持续通电控制提落锁，搭配时间继电器实现互锁及延时解锁，电源端串接电解电容保证断电后短时供电完成落锁；设计四个双联微动开关，一联控制提落锁、一联向控制模块传输信号，滚珠触头设计避免检测开关卡阻；
提落锁控制逻辑开发：解锁开门时，DCU 触发 24V 电源，电解电容充电、时间继电器计时，线圈正向得电提锁，到位后检测开关断开回路，线圈断电保持提锁；关门锁闭时，时间继电器计时结束切换至闭锁回路，门到位后线圈反向得电落锁，到位后断开回路，线圈断电保持锁闭；待机状态下时间继电器将电解电容放电，触点复位等待下次触发；
无弹簧设计优化：取消传统电磁锁的弹簧结构，从根源规避弹簧疲劳相关故障，简化设备结构同时提升可靠性。</t>
  </si>
  <si>
    <t>1. 控制方式创新：脉冲式断电保持控制，实现超低耗长寿命
摒弃传统电保持提锁模式，采用脉冲信号控制电磁铁线圈实现提落锁，提落锁状态均能断电保持，开门过程中线圈无需通电，线圈运行时间减少 99%，待机功耗为零，大幅降低线圈发热老化，同时减少线圈通电充磁时间，降低金属碎屑吸附概率，减少机械卡阻。
2. 结构设计创新：双绕组电磁铁 + 无弹簧结构，提升核心可靠性
创新采用双绕组电磁铁设计，通过正反向得电改变铁心状态实现提落锁及自保持，配合永磁体充磁的衔铁结构，替代传统单一线圈设计；取消弹簧结构，从根源解决弹簧疲劳断裂、弹力不足引发的设备故障，简化结构的同时提升设备运行稳定性。
3. 密封与集成创新：锁芯电磁铁一体密封，解决杂质卡阻痛点
将电磁锁锁芯与电磁铁一体密封封装，替代传统分体式设计，彻底解决装配空隙大、密封差导致的灰尘、铁屑堆积问题，杜绝杂质卡阻提落锁现象，省去人工高频次清洁环节，降低运维难度。
4. 检测机构创新：机械式滚珠触头微动开关，避免检测卡阻
门到位及锁到位检测采用机械式微动开关 + 滚珠触头设计，有效避免检测机构卡阻问题，提升提落锁检测的准确性和可靠性，保障控制逻辑精准执行。
5. 电气回路创新：电容 + 时间继电器组合，实现断电应急落锁
电源两端串接电解电容，断电后可提供短时电源供给完成落锁，搭配时间继电器实现互锁触点及可调节延时，既保证解锁状态的稳定保持，又实现回路的智能切换，提升设备应急能力和控制精准度。</t>
  </si>
  <si>
    <t>1. 性能指标验收
磁通量衰减：运行 100000 次后磁通量剩余≥60%，远高于设备最低工作要求的 40%；
线圈寿命：产品实际使用寿命为现有 2 号线松下电磁锁的 1.4 倍及以上；
功耗指标：待机功耗为零，线圈运行时间较传统产品减少 99%，无线圈过热、烧毁、磁化现象；
可靠性指标：实际应用中无铁屑、灰尘卡阻提落锁现象，无弹簧相关故障，设备故障率较传统产品大幅降低；
控制指标：提落锁状态断电保持稳定，断电后可通过电解电容实现应急落锁，DCU 控制下提落锁、手动解锁功能均精准实现，无误动作。</t>
  </si>
  <si>
    <t>降低设备采购与更换成本：新型电磁锁寿命为传统产品的 1.4 倍以上，大幅延长设备更换周期，减少地铁运营方设备采购、更换的直接资金投入；
大幅降低运维成本：一体密封设计杜绝杂质堆积，省去人工清洁的人力、时间成本；设备故障率显著降低，减少故障维修的零部件消耗、人工维修成本，降低轨道交通站台门系统的整体运维费用；
降低能耗成本：待机功耗为零，线圈运行时间减少 99%，大幅降低电磁锁运行过程中的电力消耗，长期应用可节约可观的电费支出；</t>
  </si>
  <si>
    <t>提升轨道交通行车安全：彻底解决传统电磁锁故障率高的痛点，保障地铁站台门的稳定可靠运行，避免因站台门设备故障引发的行车延误、安全隐患，提升城市轨道交通整体运行安全性；
推动轨道交通设备国产化创新：本项目研发的智慧型站台门电磁锁为自主创新设计，在控制方式、结构设计、密封技术等方面实现突破，推动轨道交通站台门核心零部件的技术升级和国产化创新；
践行绿色节能发展理念：产品实现待机零功耗、线圈低负荷运行，符合轨道交通行业绿色节能、低碳运营的发展要求，助力城市公共交通实现节能降耗目标；
提升城市公共交通服务质量：减少因站台门设备故障导致的地铁运营延误，提升地铁运行的准点率和流畅性，为市民提供更优质的公共交通出行服务，提升城市公共交通形象；
为行业提供技术参考：本项目的技术创新成果可为轨道交通站台门电磁锁及同类电磁控制设备的研发、升级提供参考，推动整个轨道交通设备行业的技术进步。</t>
  </si>
  <si>
    <t>弱电二部2</t>
  </si>
  <si>
    <t>青岛地铁3号线瞭望灯带支架及灯带升级改造优化项目</t>
  </si>
  <si>
    <t>已完成 3 号线 22 座车站 44 套瞭望灯带支架及灯带的升级改造，项目于 2024 年 4 月通过竣工验收</t>
  </si>
  <si>
    <t>1. 优化部分车站灯带安装位置过近影响司机瞭望的问题；2. 进一步提升灯带支架调节的便捷性与稳定性，完善灯带故障快速处理方案</t>
  </si>
  <si>
    <t>1.复核全线 22 座车站灯带安装位置，对存在瞭望干扰的点位重新调节定位；2. 升级灯带支架紧固件，优化调节结构，提升使用稳定性；</t>
  </si>
  <si>
    <r>
      <rPr>
        <sz val="11"/>
        <rFont val="宋体"/>
        <charset val="134"/>
      </rPr>
      <t xml:space="preserve">1. </t>
    </r>
    <r>
      <rPr>
        <b/>
        <sz val="11"/>
        <color indexed="8"/>
        <rFont val="宋体"/>
        <charset val="134"/>
      </rPr>
      <t>结构优化创新</t>
    </r>
    <r>
      <rPr>
        <sz val="11"/>
        <color theme="1"/>
        <rFont val="宋体"/>
        <charset val="134"/>
        <scheme val="minor"/>
      </rPr>
      <t xml:space="preserve">：针对现场使用问题优化灯带支架的高度与位置调节结构，适配站台门实际使用场景，避免侵限与瞭望干扰；2. </t>
    </r>
    <r>
      <rPr>
        <b/>
        <sz val="11"/>
        <color indexed="8"/>
        <rFont val="宋体"/>
        <charset val="134"/>
      </rPr>
      <t>适配性创新</t>
    </r>
    <r>
      <rPr>
        <sz val="11"/>
        <color theme="1"/>
        <rFont val="宋体"/>
        <charset val="134"/>
        <scheme val="minor"/>
      </rPr>
      <t>：结合地铁实际运营需求，对改造后设备进行二次优化，实现设备与运营场景的高度适配.</t>
    </r>
  </si>
  <si>
    <t>1.完成全线灯带安装位置复核与问题点位整改；2. 完成灯带支架紧固件升级与调节结构优化。</t>
  </si>
  <si>
    <t>1. 灯带高度 / 位置适配站台门使用要求，无侵限、无瞭望干扰；2. 灯带支架调节便捷，紧固件无松动，安装牢固工整；3. 灯带无断点、亮度达标，色温 2200K 暖黄，满足司机瞭望需求；4. 故障快速处理流程落地，现场可在 30 分钟内完成基础故障排查；</t>
  </si>
  <si>
    <t>0.48万元</t>
  </si>
  <si>
    <t>1. 消除灯带与车门剐蹭、瞭望干扰等安全隐患，提升地铁行车安全系数；2. 优化设备运维流程，降低故障处理时间，减少设备维护人力成本；3. 提升司机瞭望体验，保障列车运营效率，为乘客提供更安全、稳定的出行服务；4. 形成可复制的地铁瞭望灯带改造优化方案，为其他线路同类设备改造提供参考</t>
  </si>
  <si>
    <t>青岛博宁福田通道设备股份有限公司70%</t>
  </si>
  <si>
    <t>安全应急技术
环境改善技术
绿色综合技术
智慧综合技术
自主化替代技术
设备设施融合提升技术</t>
  </si>
  <si>
    <t>弱电三部1</t>
  </si>
  <si>
    <t>综合监控“热力图”智慧预警功能开发项目</t>
  </si>
  <si>
    <t>以李村站为试点开展3号线传感器温度“热力图”预警提示修改工作</t>
  </si>
  <si>
    <r>
      <rPr>
        <sz val="11"/>
        <rFont val="宋体"/>
        <charset val="134"/>
      </rPr>
      <t xml:space="preserve">1. 异常状态识别滞后，依赖人员紧盯数值
    原综合监控传感器界面仅以数字形式展示温度，运维人员需在众多数据中逐一核对数值。当温度上升至警戒线（如27度）时，缺乏主动视觉提示，容易因人员疲劳或疏忽导致异常发现不及时，存在设备运行安全隐患。
</t>
    </r>
    <r>
      <rPr>
        <b/>
        <sz val="11"/>
        <rFont val="宋体"/>
        <charset val="134"/>
      </rPr>
      <t>2. 信息传递效率低，缺乏直观性</t>
    </r>
    <r>
      <rPr>
        <sz val="11"/>
        <rFont val="宋体"/>
        <charset val="134"/>
      </rPr>
      <t xml:space="preserve">
   纯数字界面在应急场景下（如高温告警）无法快速定位异常点。操作员需“先读数字、再比阈值、后判状态”，响应链路较长。在需要快速处置的场合，这种交互方式难以满足高效运维需求。
</t>
    </r>
    <r>
      <rPr>
        <b/>
        <sz val="11"/>
        <rFont val="宋体"/>
        <charset val="134"/>
      </rPr>
      <t>3. 预警机制单一，缺乏分级感知</t>
    </r>
    <r>
      <rPr>
        <sz val="11"/>
        <rFont val="宋体"/>
        <charset val="134"/>
      </rPr>
      <t xml:space="preserve">
   原有系统仅有“正常显示”一种状态，未对临界高值进行视觉分级。无法通过颜色差异在第一时间吸引注意力，不利于实现故障/温度异常的早期发现与前置处置。</t>
    </r>
  </si>
  <si>
    <t>本项目拟对现有综合监控系统传感器界面进行可视化升级，在不改变原有硬件架构与核心数据采集逻辑的前提下，新增基于阈值的动态着色预警功能。具体内容包括：
1. 阈值逻辑配置
   在后台管理模块中增设温度阈值设定项，将27度定义为“关注/预警阈值”。当传感器回传温度值 &lt; 27度时，界面沿用原有显示样式；当温度 ≥ 27度时，触发预警逻辑。
2. 前端界面视觉重构
   针对达到或超过27度的温度显示控件，进行高亮着色处理。初步设定为：温度数值底色变为醒目黄色或红色，确保在整体界面中形成视觉焦点。
3. 分级扩展预留
   除27度预警线外，预留更高等级（如30度以上红色告警）的扩展预警储备，为后续精细化分级告警奠定基础，实现从“数值显示”到“状态感知”的转变。</t>
  </si>
  <si>
    <t>1. 从“被动读数”到“主动预警”的感知模式创新
   突破了传统监控界面仅作为数据被动展示载体的局限。通过引入视觉编码技术，将抽象的阈值规则转化为具象的视觉刺激（颜色突变），使车站人员无需逐个读取数值，即可通过全局界面色块的异常变化快速定位超限设备，实现了监控模式由“人工检索”向“机器提示”的转变。
2. 低成本、高灵敏度的轻量化改造
   相较于更换传感器或重构整个报警系统，本项目在不增加硬件成本、不改动底层数据采集链路的前提下，仅通过前端界面逻辑的优化即可实现。这种轻量化、高复用性的改造模式，不仅见效快，且可快速推广至湿度等其他具备阈值监控需求的传感器界面。
3. 人因工程在工业监控界面中的深度应用
   项目充分考虑了运维人员在高强度、多屏监控环境下的生理特点。利用人眼对颜色变化敏感度远高于对数字变化敏感度的视觉特性，通过色彩心理学原理（黄色预警、红色危险）优化界面交互，有效降低运维人员的认知负荷，提升应急处置响应速度约30%-50%（预期值）。</t>
  </si>
  <si>
    <t>完成3号线全线调整</t>
  </si>
  <si>
    <t>弱电三部2</t>
  </si>
  <si>
    <t>科技类创新成果季度评价标准</t>
  </si>
  <si>
    <t>评价指标</t>
  </si>
  <si>
    <t>指标含义</t>
  </si>
  <si>
    <t>评价标准</t>
  </si>
  <si>
    <t>分数</t>
  </si>
  <si>
    <t>创新性（30分）</t>
  </si>
  <si>
    <t>应用成果：在原理、结构、特征、工艺、方法、技术规范、组织规范、组织措施等与前期相比的创新程度； 
理论研究成果：1、提出的理论、学说，发现新规律、新现象等的新颖程度；2、理论、政策、观点、方案、方法、管理效果等的创新程度。</t>
  </si>
  <si>
    <t>轨道交通行业内新发现；填补行业空白；在行业首次提出</t>
  </si>
  <si>
    <r>
      <rPr>
        <sz val="10.5"/>
        <color rgb="FF000000"/>
        <rFont val="仿宋_GB2312"/>
        <charset val="134"/>
      </rPr>
      <t>26</t>
    </r>
    <r>
      <rPr>
        <sz val="10.5"/>
        <color rgb="FF000000"/>
        <rFont val="宋体"/>
        <charset val="134"/>
      </rPr>
      <t>-</t>
    </r>
    <r>
      <rPr>
        <sz val="10.5"/>
        <color rgb="FF000000"/>
        <rFont val="仿宋_GB2312"/>
        <charset val="134"/>
      </rPr>
      <t>30</t>
    </r>
  </si>
  <si>
    <t>在青岛地铁集团首次提出，填补了集团空白</t>
  </si>
  <si>
    <r>
      <rPr>
        <sz val="10.5"/>
        <color rgb="FF000000"/>
        <rFont val="仿宋_GB2312"/>
        <charset val="134"/>
      </rPr>
      <t>21</t>
    </r>
    <r>
      <rPr>
        <sz val="10.5"/>
        <color rgb="FF000000"/>
        <rFont val="宋体"/>
        <charset val="134"/>
      </rPr>
      <t>-</t>
    </r>
    <r>
      <rPr>
        <sz val="10.5"/>
        <color rgb="FF000000"/>
        <rFont val="仿宋_GB2312"/>
        <charset val="134"/>
      </rPr>
      <t>25</t>
    </r>
  </si>
  <si>
    <t>与已有技术相比具有重大的发展和创新，填补了运营公司空白；在运营公司首次提出</t>
  </si>
  <si>
    <t>11-20</t>
  </si>
  <si>
    <t>与运营公司已有技术相比有所创新</t>
  </si>
  <si>
    <t>6-10</t>
  </si>
  <si>
    <t>复杂技术的移植和推广应用；属于一般的调研和观察分析的总结报告</t>
  </si>
  <si>
    <t>1-5</t>
  </si>
  <si>
    <t>推广性（30分）</t>
  </si>
  <si>
    <t>应用成果：使用程度、应用范围，应用前景，推广规模和对促进生产发展的作用等；
理论研究成果:指导运营生产、管理实践的作用；对提高决策科学化，管理现代化和促进运营水平提升的影响程度等。</t>
  </si>
  <si>
    <t>很成熟，行业内十分关注，广泛纳入研究或建设目标，国内外大部分轨交城市均可推广；</t>
  </si>
  <si>
    <t>26-30</t>
  </si>
  <si>
    <t>成熟，行业内较关注，国内一部分轨交城市可推广或在青岛地铁集团内具有推广价值</t>
  </si>
  <si>
    <t>较成熟，在运营公司内具有推广价值</t>
  </si>
  <si>
    <t>基本成熟，在部门/中心内具有推广价值</t>
  </si>
  <si>
    <t>在本专业内具有一定的应用价值</t>
  </si>
  <si>
    <t>技术难度（20分）</t>
  </si>
  <si>
    <t>应用成果：攻克的技术难度的多少，技术复杂程度，解决的技术途径的难易程度；
理论研究成果：涉及专业多少、解决问题的难易程度，综合分析研究的程度等。</t>
  </si>
  <si>
    <t>研究方向为线网普遍存在或3年（含3年）以上疑难问题，投入人力物力大，难度很大</t>
  </si>
  <si>
    <t>16-20</t>
  </si>
  <si>
    <t>研究方向为某一条线路，1年（含1年）以上疑难问题；投入人力物力较大，难度较大</t>
  </si>
  <si>
    <t>10-15</t>
  </si>
  <si>
    <t>研究方向为相关设备设施存在的普通问题，投入一定的人力物力，具有一定难度</t>
  </si>
  <si>
    <t>5-9</t>
  </si>
  <si>
    <t>难度一般、较小</t>
  </si>
  <si>
    <t>1-4</t>
  </si>
  <si>
    <t>科学性（20分）</t>
  </si>
  <si>
    <t>1、选题的正确性，课题设计的严密性，数据资料处理、分析论证正确性和可靠性等； 
2、试验方案、研究方法、技术途径、综合研究的科学性以及技术指标测试、经济效益分析等方面的正确性和科学性。</t>
  </si>
  <si>
    <t>数据资料很可靠，方法合理、途径恰当、分析清楚、论证清晰</t>
  </si>
  <si>
    <t>15-20</t>
  </si>
  <si>
    <t>具备基本的数据、资料、方法合理、途径恰当、分析清楚、论证基本科学</t>
  </si>
  <si>
    <t>10-14</t>
  </si>
  <si>
    <t>科学性较差，逻辑不连贯，分析不清楚</t>
  </si>
  <si>
    <t>1-9</t>
  </si>
  <si>
    <t>总分（100分）：</t>
  </si>
  <si>
    <t xml:space="preserve">应用成果：可用于生产或指导生产的科技成果，包括可以独立应用的阶段性研究成果和引进技术、设备的消化、吸收创新成果。主要表现为新产品、新技术、新工艺、新材料、新设计、新资源等。 </t>
  </si>
  <si>
    <t>理论研究成果：1、发现并阐明自然现象、特征、规律及其内在联系的自然科学基础理论和应用基础理论研究的成果。需具备以下条件：在理论上有一定的创新和发展；对运营生产或管理实践有一定的指导作用；2、为决策科学和管理现代化而进行的有关发展战略、政策、规划、评价、预测、科技立法以及管理科学与政策科学的研究成果，具有一定的创造性，并对运营生产或管理工作有一定指导意义的。</t>
  </si>
  <si>
    <r>
      <t>分值参考范围：</t>
    </r>
    <r>
      <rPr>
        <sz val="14"/>
        <color theme="1"/>
        <rFont val="宋体"/>
        <charset val="134"/>
        <scheme val="minor"/>
      </rPr>
      <t xml:space="preserve">
≥90分，建议推荐（建议推荐数量不超过应打分项目的60%）
89-80分，良好待评
≤80分，需继续完善
（详细评分标准请见sheet评分标准）</t>
    </r>
    <phoneticPr fontId="34" type="noConversion"/>
  </si>
  <si>
    <t>本次打分采取直接回避原则，部门负责人无需对本部门申报的项目进行打分。</t>
    <phoneticPr fontId="34" type="noConversion"/>
  </si>
  <si>
    <t>AVEG</t>
    <phoneticPr fontId="34" type="noConversion"/>
  </si>
  <si>
    <t>打分 排名</t>
    <phoneticPr fontId="34" type="noConversion"/>
  </si>
  <si>
    <t>生产技术部</t>
    <phoneticPr fontId="34" type="noConversion"/>
  </si>
  <si>
    <t>AVEG（生产部门）</t>
    <phoneticPr fontId="34" type="noConversion"/>
  </si>
  <si>
    <t>本次打分采取直接回避原则，部门负责人无需对本部门申报的项目进行打分。</t>
  </si>
  <si>
    <r>
      <rPr>
        <b/>
        <sz val="14"/>
        <color theme="1"/>
        <rFont val="宋体"/>
        <family val="3"/>
        <charset val="134"/>
        <scheme val="minor"/>
      </rPr>
      <t>分值参考范围：</t>
    </r>
    <r>
      <rPr>
        <sz val="14"/>
        <color theme="1"/>
        <rFont val="宋体"/>
        <family val="3"/>
        <charset val="134"/>
        <scheme val="minor"/>
      </rPr>
      <t xml:space="preserve">
≥90分，建议推荐（建议推荐数量不超过应打分项目的60%）
89-80分，良好待评
≤80分，需继续完善
（详细评分标准请见sheet评分标准）</t>
    </r>
  </si>
  <si>
    <r>
      <rPr>
        <sz val="11"/>
        <rFont val="等线"/>
        <family val="3"/>
        <charset val="134"/>
      </rPr>
      <t>开展本科技创新项目计划在线网开展安全回路指示灯加装改造，提升故障处理及日常行车运作效率。
1.</t>
    </r>
    <r>
      <rPr>
        <b/>
        <sz val="11"/>
        <rFont val="等线"/>
        <family val="3"/>
        <charset val="134"/>
      </rPr>
      <t>地下站</t>
    </r>
    <r>
      <rPr>
        <sz val="11"/>
        <rFont val="等线"/>
        <family val="3"/>
        <charset val="134"/>
      </rPr>
      <t>：在原PSL盒内全闭锁指示灯进行并联引线，线束经过立柱与顶箱盖板夹层处，在端门上部顶箱盖板处打孔，将外接安全回路指示灯固定至端门顶箱盖板打孔处；
2</t>
    </r>
    <r>
      <rPr>
        <b/>
        <sz val="11"/>
        <rFont val="等线"/>
        <family val="3"/>
        <charset val="134"/>
      </rPr>
      <t>.蓝谷快线高架站改造方案：</t>
    </r>
    <r>
      <rPr>
        <sz val="11"/>
        <rFont val="等线"/>
        <family val="3"/>
        <charset val="134"/>
      </rPr>
      <t>在原PSL盒内安全回路灯进行并联引线，线束顺着端门门框顺延至端门不锈钢处，将外接安全回路指示灯固定至端门不锈钢侧板打孔处。
3.</t>
    </r>
    <r>
      <rPr>
        <b/>
        <sz val="11"/>
        <rFont val="等线"/>
        <family val="3"/>
        <charset val="134"/>
      </rPr>
      <t>西海岸快线高架站台门方案：</t>
    </r>
    <r>
      <rPr>
        <sz val="11"/>
        <rFont val="等线"/>
        <family val="3"/>
        <charset val="134"/>
      </rPr>
      <t>在原PSL盒内全闭锁指示灯进行并联引线，线束顺着端门门框顺延至端门上部门梁中部，在此位置采用“固定外壳支架+指示灯”的形式</t>
    </r>
  </si>
  <si>
    <r>
      <rPr>
        <b/>
        <sz val="11"/>
        <rFont val="等线"/>
        <family val="3"/>
        <charset val="134"/>
      </rPr>
      <t xml:space="preserve">因地制宜差异化设计
</t>
    </r>
    <r>
      <rPr>
        <sz val="11"/>
        <rFont val="等线"/>
        <family val="3"/>
        <charset val="134"/>
      </rPr>
      <t>根据地下站、蓝谷快线高架站、西海岸快线高架站不同站型结构，分别制定立柱顶箱夹层布线、门框顺延至不锈钢侧板、门框顺延至上部门梁中部三种适配方案，施工布局更贴合现场结构条件。</t>
    </r>
    <r>
      <rPr>
        <b/>
        <sz val="11"/>
        <rFont val="等线"/>
        <family val="3"/>
        <charset val="134"/>
      </rPr>
      <t xml:space="preserve">
布线隐蔽且安全规范
</t>
    </r>
    <r>
      <rPr>
        <sz val="11"/>
        <rFont val="等线"/>
        <family val="3"/>
        <charset val="134"/>
      </rPr>
      <t>线束均采用隐蔽式敷设（夹层、门框顺延），不破坏主体结构外观，同时避免外露磨损，提升线路安全性与站台整体美观度。</t>
    </r>
    <r>
      <rPr>
        <b/>
        <sz val="11"/>
        <rFont val="等线"/>
        <family val="3"/>
        <charset val="134"/>
      </rPr>
      <t xml:space="preserve">
安装形式灵活优化
</t>
    </r>
    <r>
      <rPr>
        <sz val="11"/>
        <rFont val="等线"/>
        <family val="3"/>
        <charset val="134"/>
      </rPr>
      <t>地下站直接固定于打孔盖板；蓝谷快线高架站固定于不锈钢侧板；西海岸快线高架站创新采用固定外壳支架 + 指示灯组合形式，安装更稳固、检修更便捷。</t>
    </r>
    <r>
      <rPr>
        <b/>
        <sz val="11"/>
        <rFont val="等线"/>
        <family val="3"/>
        <charset val="134"/>
      </rPr>
      <t xml:space="preserve">
原位并联不改动主回路
</t>
    </r>
    <r>
      <rPr>
        <sz val="11"/>
        <rFont val="等线"/>
        <family val="3"/>
        <charset val="134"/>
      </rPr>
      <t>均在原 PSL 盒内对应指示灯并联引线，无需改动原有安全回路与控制逻辑，施工风险低、对运营影响小，改造高效可靠。</t>
    </r>
  </si>
  <si>
    <r>
      <rPr>
        <b/>
        <sz val="11"/>
        <rFont val="等线"/>
        <family val="3"/>
        <charset val="134"/>
      </rPr>
      <t>直接节约人力成本：</t>
    </r>
    <r>
      <rPr>
        <sz val="11"/>
        <rFont val="等线"/>
        <family val="3"/>
        <charset val="134"/>
      </rPr>
      <t xml:space="preserve">改造前故障处置需 1 名站务人员专人值守，按单线路年故障 120 次、50 元 / 小时工时成本测算，单线路年节约人工成本约 6000 元，多线路改造可累计节省数万元，释放人力用于核心客运服务。
</t>
    </r>
    <r>
      <rPr>
        <b/>
        <sz val="11"/>
        <rFont val="等线"/>
        <family val="3"/>
        <charset val="134"/>
      </rPr>
      <t>减少运营延误损失</t>
    </r>
    <r>
      <rPr>
        <sz val="11"/>
        <rFont val="等线"/>
        <family val="3"/>
        <charset val="134"/>
      </rPr>
      <t xml:space="preserve">：站务人员可直接在站台观察状态，故障处置效率提升 30%，减少列车晚点，按年减少 10 次晚点、单次损失 2000 元测算，年挽回运营损失约 2 万元。
降低采购与运维成本：指示灯型号统一、批量采购可享议价优惠，免焊接插头、预绝缘端子等设计提升施工效率，减少施工人工投入；设备防水耐用，后期维修更换成本降低 60%，年节约运维费用约 5000 元。
</t>
    </r>
    <r>
      <rPr>
        <b/>
        <sz val="11"/>
        <rFont val="等线"/>
        <family val="3"/>
        <charset val="134"/>
      </rPr>
      <t>规避潜在安全损失</t>
    </r>
    <r>
      <rPr>
        <sz val="11"/>
        <rFont val="等线"/>
        <family val="3"/>
        <charset val="134"/>
      </rPr>
      <t>：取消小站台值守，规避人员安全风险，避免安全事故带来的高额赔偿与处罚，同时减少服务质量考核罚款，年可节约相关费用数千元。</t>
    </r>
  </si>
  <si>
    <r>
      <rPr>
        <b/>
        <sz val="11"/>
        <rFont val="等线"/>
        <family val="3"/>
        <charset val="134"/>
      </rPr>
      <t>优化人力资源配置</t>
    </r>
    <r>
      <rPr>
        <sz val="11"/>
        <rFont val="等线"/>
        <family val="3"/>
        <charset val="134"/>
      </rPr>
      <t xml:space="preserve">
</t>
    </r>
    <r>
      <rPr>
        <b/>
        <sz val="11"/>
        <rFont val="等线"/>
        <family val="3"/>
        <charset val="134"/>
      </rPr>
      <t>全线网推广此创新，</t>
    </r>
    <r>
      <rPr>
        <sz val="11"/>
        <rFont val="等线"/>
        <family val="3"/>
        <charset val="134"/>
      </rPr>
      <t xml:space="preserve">可节约故障处置时专人值守观察指示灯的岗位，释放人力用于其他关键作业，显著提高人员利用率与故障处置响应速度。
</t>
    </r>
    <r>
      <rPr>
        <b/>
        <sz val="11"/>
        <rFont val="等线"/>
        <family val="3"/>
        <charset val="134"/>
      </rPr>
      <t>保障行车组织高效顺畅</t>
    </r>
    <r>
      <rPr>
        <sz val="11"/>
        <rFont val="等线"/>
        <family val="3"/>
        <charset val="134"/>
      </rPr>
      <t xml:space="preserve">
站务人员可在站台直接观察安全回路状态，减少信息传递环节，缩短处置周期，降低对正常行车运营的干扰，提升整体行车运作效率。
</t>
    </r>
    <r>
      <rPr>
        <b/>
        <sz val="11"/>
        <rFont val="等线"/>
        <family val="3"/>
        <charset val="134"/>
      </rPr>
      <t>降低现场作业安全风险</t>
    </r>
    <r>
      <rPr>
        <sz val="11"/>
        <rFont val="等线"/>
        <family val="3"/>
        <charset val="134"/>
      </rPr>
      <t xml:space="preserve">
减少人员在小站台值守频次，规避人员密集、空间受限等场景下的安全隐患，提升运维作业安全性。
</t>
    </r>
    <r>
      <rPr>
        <b/>
        <sz val="11"/>
        <rFont val="等线"/>
        <family val="3"/>
        <charset val="134"/>
      </rPr>
      <t>切实赋能一线</t>
    </r>
    <r>
      <rPr>
        <sz val="11"/>
        <rFont val="等线"/>
        <family val="3"/>
        <charset val="134"/>
      </rPr>
      <t xml:space="preserve">
改造方案经站务、弱电专业人员调研论证，具备充分必要性，实用性强，有利于提升一线运维工作满意度与规范化水平。</t>
    </r>
    <r>
      <rPr>
        <b/>
        <sz val="11"/>
        <rFont val="等线"/>
        <family val="3"/>
        <charset val="134"/>
      </rPr>
      <t xml:space="preserve">
提升地铁运营服务品质</t>
    </r>
    <r>
      <rPr>
        <sz val="11"/>
        <rFont val="等线"/>
        <family val="3"/>
        <charset val="134"/>
      </rPr>
      <t xml:space="preserve">
通过高效、安全的设备故障处置，保障运营稳定可靠，间接提升乘客出行体验与公共交通服务质量。</t>
    </r>
  </si>
  <si>
    <r>
      <rPr>
        <b/>
        <sz val="11"/>
        <color indexed="8"/>
        <rFont val="等线"/>
        <family val="3"/>
        <charset val="134"/>
      </rPr>
      <t xml:space="preserve">加装具备信号预处理功能的转码设备：
</t>
    </r>
    <r>
      <rPr>
        <sz val="11"/>
        <color indexed="8"/>
        <rFont val="等线"/>
        <family val="3"/>
        <charset val="134"/>
      </rPr>
      <t>为从源头解决广电输入原始信号与PIS系统终端解码、播放适配性不足的问题，切实提升直播画面清晰度与播放流畅度，本项目专门加装具备信号预处理功能的专用PIS转码设备。该设备搭载先进抗锯齿算法，可直接对接广电输入的原始直播信号，对信号进行二次转码、预处理优化，精准修正原始信号中的锯齿失真、画面模糊等问题，同步完成信号格式、参数的调试适配，确保处理后的信号完全符合线网PIS系统各终端的解码标准与播放要求，为后续画质提升、稳定传输筑牢前端技术基础，保障PIS直播画面呈现的一致性与高品质。</t>
    </r>
  </si>
  <si>
    <r>
      <rPr>
        <b/>
        <sz val="11"/>
        <color indexed="8"/>
        <rFont val="等线"/>
        <family val="3"/>
        <charset val="134"/>
      </rPr>
      <t xml:space="preserve">前端信号预处理赋能，实现画质精准适配
</t>
    </r>
    <r>
      <rPr>
        <sz val="11"/>
        <color indexed="8"/>
        <rFont val="等线"/>
        <family val="3"/>
        <charset val="134"/>
      </rPr>
      <t>突破传统PIS系统仅对终端信号进行解码播放的单一模式，创新引入具备智能信号预处理功能的专用转码设备。该设备内置先进抗锯齿算法，直接截取广电原始输入信号，完成从 “信号转码 - 画质增强 - 格式适配” 的一体化二次处理，实现对原始信号的 “精修润色”。此模式不仅解决了原有信号与终端解码标准不匹配、画面锯齿模糊等技术痛点，更构建了 “源头预处理 - 精准适配 - 稳定播放” 的全流程质量闭环，为线网 PIS 系统高清化运行提供了全新的技术路径与解决方案。</t>
    </r>
  </si>
  <si>
    <r>
      <rPr>
        <b/>
        <sz val="11"/>
        <color indexed="8"/>
        <rFont val="宋体"/>
        <family val="3"/>
        <charset val="134"/>
      </rPr>
      <t>1.社会效益</t>
    </r>
    <r>
      <rPr>
        <sz val="11"/>
        <color indexed="8"/>
        <rFont val="宋体"/>
        <family val="3"/>
        <charset val="134"/>
      </rPr>
      <t xml:space="preserve">
本项目通过线网PIS直播画质全面优化，显著提升了地铁线网公共信息传播的质量与效率，切实增强了市民出行体验。优化后的PIS直播画面清晰、播放流畅，有效解决了原有画面模糊、卡顿等问题，让市民在乘车过程中能清晰获取时政资讯、便民信息、应急通知等内容，拓宽了公共信息传播渠道，提升了信息传递的及时性与准确性。同时，高清化、稳定化的PIS直播体验，进一步完善了地铁公共服务配套功能，彰显了城市公共交通的精细化管理水平，助力提升城市整体形象与文明程度。此外，项目搭建的高可靠传输体系与画质优化机制，为后续公共交通领域视听服务升级提供了可复制、可推广的实践经验，推动公共服务数字化、品质化转型，切实惠及广大市民群众，增强群众出行的获得感与幸福感。
2.生态效益
本项目秉持绿色低碳、高效集约的建设理念，通过技术优化实现资源高效利用。在设备与技术应用方面，信号预处理转码设备的精准适配的，避免了设备冗余投入与资源闲置，提升了现有PIS系统的利用率，延长了设备使用寿命，减少了电子设备废弃带来的环境压力。同时，项目建立的“源头优化+中转处理+终端适配”全流程画质提升闭环，推动上游广电与地铁运维技术协同联动，形成了资源共享、高效协同的技术生态，避免了重复技术改造与资源投入，为公共交通领域视听服务绿色低碳发展提供了有效路径，助力构建资源节约、环境友好的公共服务生态体系。</t>
    </r>
  </si>
  <si>
    <r>
      <rPr>
        <b/>
        <sz val="11"/>
        <rFont val="宋体"/>
        <family val="3"/>
        <charset val="134"/>
      </rPr>
      <t>1、技术突破创新</t>
    </r>
    <r>
      <rPr>
        <sz val="11"/>
        <rFont val="宋体"/>
        <family val="3"/>
        <charset val="134"/>
      </rPr>
      <t xml:space="preserve">：打破行业对接先例，在无现成技术路径、无适配经验的前提下，首次自主完成无人机接入低空一网统飞平台，实现“从0到1”的关键突破，摆脱对外部技术支持的依赖，掌握平台接入全流程核心配置能力。
</t>
    </r>
    <r>
      <rPr>
        <b/>
        <sz val="11"/>
        <rFont val="宋体"/>
        <family val="3"/>
        <charset val="134"/>
      </rPr>
      <t>2、能力构建创新：</t>
    </r>
    <r>
      <rPr>
        <sz val="11"/>
        <rFont val="宋体"/>
        <family val="3"/>
        <charset val="134"/>
      </rPr>
      <t>构建起“设备接入-平台操作-场景应用”的全链条自主闭环能力，不仅实现无人机与平台的稳定连接，更系统掌握平台核心功能，验证了技术成果向实战能力的快速转化，实现从“能连接”到“能使用”的跨越式提升。</t>
    </r>
  </si>
  <si>
    <r>
      <rPr>
        <b/>
        <sz val="11"/>
        <color indexed="8"/>
        <rFont val="宋体"/>
        <family val="3"/>
        <charset val="134"/>
      </rPr>
      <t>1.巡检模式创新：</t>
    </r>
    <r>
      <rPr>
        <sz val="11"/>
        <color indexed="8"/>
        <rFont val="宋体"/>
        <family val="3"/>
        <charset val="134"/>
      </rPr>
      <t xml:space="preserve">打破海大停车场周界设备传统人工绕场巡检的固有模式，率先将无人机技术与低空一网统飞平台深度融合，实现 “平台规划-自动巡检-实时回传-自动返航”的全流程智能化巡检，无需人工现场参与，彻底摆脱对人工巡检的依赖，重构场段安防设施巡检流程。
</t>
    </r>
    <r>
      <rPr>
        <b/>
        <sz val="11"/>
        <color indexed="8"/>
        <rFont val="宋体"/>
        <family val="3"/>
        <charset val="134"/>
      </rPr>
      <t>2.航线设计创新：</t>
    </r>
    <r>
      <rPr>
        <sz val="11"/>
        <color indexed="8"/>
        <rFont val="宋体"/>
        <family val="3"/>
        <charset val="134"/>
      </rPr>
      <t xml:space="preserve">针对海大停车场安防周界报警设备、安防摄像机的布设位置、巡检重点，在低空一网统飞平台上进行定制化航点与航线设计，精准覆盖所有巡检点位，实现巡检点位无死角、巡检重点全覆盖，保障巡检的全面性与精准性。
</t>
    </r>
    <r>
      <rPr>
        <b/>
        <sz val="11"/>
        <color indexed="8"/>
        <rFont val="宋体"/>
        <family val="3"/>
        <charset val="134"/>
      </rPr>
      <t>3.作业方式创新：</t>
    </r>
    <r>
      <rPr>
        <sz val="11"/>
        <color indexed="8"/>
        <rFont val="宋体"/>
        <family val="3"/>
        <charset val="134"/>
      </rPr>
      <t xml:space="preserve">通过固化平台巡检参数，实现无人机固定周期自主巡检，同时将工作人员从高空作业、绕场奔波的繁重工作中解放出来，消除登高作业的安全风险。
</t>
    </r>
    <r>
      <rPr>
        <b/>
        <sz val="11"/>
        <color indexed="8"/>
        <rFont val="宋体"/>
        <family val="3"/>
        <charset val="134"/>
      </rPr>
      <t>4.巡检管理创新：</t>
    </r>
    <r>
      <rPr>
        <sz val="11"/>
        <color indexed="8"/>
        <rFont val="宋体"/>
        <family val="3"/>
        <charset val="134"/>
      </rPr>
      <t>依托低空一网统飞平台实现巡检画面实时回传、巡检数据全程留存，打造“可视化、可追溯、标准化”的巡检管理体系，工作人员在后台即可完成设备状态检查，巡检结果可实时记录、随时调取，提升安防运维管理的精细化水平。</t>
    </r>
  </si>
  <si>
    <r>
      <rPr>
        <sz val="11"/>
        <rFont val="宋体"/>
        <family val="3"/>
        <charset val="134"/>
      </rPr>
      <t>自动化中心10</t>
    </r>
    <r>
      <rPr>
        <sz val="11"/>
        <rFont val="宋体"/>
        <family val="3"/>
        <charset val="134"/>
      </rPr>
      <t>0</t>
    </r>
    <r>
      <rPr>
        <sz val="11"/>
        <rFont val="宋体"/>
        <family val="3"/>
        <charset val="134"/>
      </rPr>
      <t>%</t>
    </r>
  </si>
  <si>
    <r>
      <rPr>
        <b/>
        <sz val="11"/>
        <rFont val="等线"/>
        <family val="3"/>
        <charset val="134"/>
      </rPr>
      <t>1.轻量化设计创新</t>
    </r>
    <r>
      <rPr>
        <sz val="11"/>
        <rFont val="等线"/>
        <family val="3"/>
        <charset val="134"/>
      </rPr>
      <t>：联合青岛科技大学开展定制化轻量化研发，通过降低材料密度、优化内部支撑板，由铝合金板替代钢板，从结构和材质双维度解决胶条加厚后螺栓承重不足的行业痛点，兼顾产品性能提升与安装适配性。通过降低密度实现胶条柔韧性、耐磨性、阻燃性的提升，同时降低材料一体化生产成本。
2.</t>
    </r>
    <r>
      <rPr>
        <b/>
        <sz val="11"/>
        <rFont val="等线"/>
        <family val="3"/>
        <charset val="134"/>
      </rPr>
      <t>场景适配创新：</t>
    </r>
    <r>
      <rPr>
        <sz val="11"/>
        <rFont val="等线"/>
        <family val="3"/>
        <charset val="134"/>
      </rPr>
      <t>针对地铁站台大客流、高频次运营、多环境腐蚀的特殊场景，定制化研发材料性能指标，精准匹配现场运营需求，减少胶条刮车对列车的损伤。
3.</t>
    </r>
    <r>
      <rPr>
        <b/>
        <sz val="11"/>
        <rFont val="等线"/>
        <family val="3"/>
        <charset val="134"/>
      </rPr>
      <t>产学研融合创新：</t>
    </r>
    <r>
      <rPr>
        <sz val="11"/>
        <rFont val="等线"/>
        <family val="3"/>
        <charset val="134"/>
      </rPr>
      <t>结合地铁一线运营数据与高校实验室研发能力，联动专业企业完成检测、设计、开模全流程，实现从现场需求到材料研发、测试、应用的全链条闭环，确保研发成果贴合实际运营场景。</t>
    </r>
  </si>
  <si>
    <r>
      <rPr>
        <sz val="11"/>
        <rFont val="等线"/>
        <family val="3"/>
        <charset val="134"/>
      </rPr>
      <t>本项目研发的一体式防踏空胶条适配青岛地铁线网站台门间隙改造核心需求，从</t>
    </r>
    <r>
      <rPr>
        <b/>
        <sz val="11"/>
        <rFont val="等线"/>
        <family val="3"/>
        <charset val="134"/>
      </rPr>
      <t>改造成本、运营运维、风险管控、长远发展</t>
    </r>
    <r>
      <rPr>
        <sz val="11"/>
        <rFont val="等线"/>
        <family val="3"/>
        <charset val="134"/>
      </rPr>
      <t xml:space="preserve">四大方面实现经济价值提升，核心效益突出且落地性强，具体分析如下：
</t>
    </r>
    <r>
      <rPr>
        <b/>
        <sz val="11"/>
        <rFont val="等线"/>
        <family val="3"/>
        <charset val="134"/>
      </rPr>
      <t>一、改造成本方面</t>
    </r>
    <r>
      <rPr>
        <sz val="11"/>
        <rFont val="等线"/>
        <family val="3"/>
        <charset val="134"/>
      </rPr>
      <t xml:space="preserve">：集约管控项目投入，实现资金高效利用
优化采用 “小间隙加装绝缘胶垫 + 大间隙采用一体式胶条” 组合改造策略，将线网初期全线路胶条更换的 679.25 万元预算压缩至 154.57 万元，直接降本 524.68 万元，降幅超 77%。同时结合线网 770 根胶条实际需求优化开模设计，避免重复、无效开模，依托轻量化研发减少材料耗材，进一步降低胶条生产与采购单位成本，提升项目资金使用效率。
</t>
    </r>
    <r>
      <rPr>
        <b/>
        <sz val="11"/>
        <rFont val="等线"/>
        <family val="3"/>
        <charset val="134"/>
      </rPr>
      <t>二、运营运维方面：</t>
    </r>
    <r>
      <rPr>
        <sz val="11"/>
        <rFont val="等线"/>
        <family val="3"/>
        <charset val="134"/>
      </rPr>
      <t xml:space="preserve">降低全周期损耗，节约日常各项开支
新型胶条通过配方改性 + 轻量化结构设计，解决传统胶条易损耗、耐磨性差、螺栓承重不足致脱落的问题，大幅提升部件使用寿命，减少备件重复采购成本。胶条稳定性与适配性提升，减少设备故障、车体剐蹭引发的应急维修与巡检整改工作，降低运维人工成本；同时精准匹配间隙改造标准，从源头减少剐蹭，避免列车车身维修、胶条二次整改的额外费用。
</t>
    </r>
    <r>
      <rPr>
        <b/>
        <sz val="11"/>
        <rFont val="等线"/>
        <family val="3"/>
        <charset val="134"/>
      </rPr>
      <t>三、风险管控方面：</t>
    </r>
    <r>
      <rPr>
        <sz val="11"/>
        <rFont val="等线"/>
        <family val="3"/>
        <charset val="134"/>
      </rPr>
      <t xml:space="preserve">规避运营隐性风险，减少非生产性支出
有效缩小站台与列车间隙，降低乘客掉入间隙的安全风险，减少客伤事故发生概率，避免客伤赔偿、纠纷处理等隐性经济损失。从根源减少设备故障、客伤事故引发的舆情风险，避免投入人力物力开展舆情处置与公关协调，节约企业管理资源，减少非生产性开支。
</t>
    </r>
    <r>
      <rPr>
        <b/>
        <sz val="11"/>
        <rFont val="等线"/>
        <family val="3"/>
        <charset val="134"/>
      </rPr>
      <t>四、长远发展方面</t>
    </r>
    <r>
      <rPr>
        <sz val="11"/>
        <rFont val="等线"/>
        <family val="3"/>
        <charset val="134"/>
      </rPr>
      <t>：形成标准化体系，赋能线网长期价值
新型胶条研发后形成标准化设计、生产、安装体系，可直接复用于青岛地铁新线建设与既有线路维护，省去重复研发、开模的前期成本。标准化产品适配不同线路、站台场景，可形成规模化采购优势，降低单根胶条采购成本；标准化安装流程提升施工效率，减少人工成本，为后续线网拓展、设备升级提供经济高效的解决方案，实现长期价值赋能。</t>
    </r>
  </si>
  <si>
    <r>
      <rPr>
        <b/>
        <sz val="11"/>
        <rFont val="等线"/>
        <family val="3"/>
        <charset val="134"/>
      </rPr>
      <t>1.社会效益方面</t>
    </r>
    <r>
      <rPr>
        <sz val="11"/>
        <rFont val="等线"/>
        <family val="3"/>
        <charset val="134"/>
      </rPr>
      <t xml:space="preserve">
有效缩小站台门与列车间隙，从源头降低乘客坠隙风险，大幅提升地铁乘车安全系数，切实保障市民出行安全。优化胶条适配性减少车体剐蹭，提升列车运行稳定性与客运服务质量，增强市民出行体验与幸福感。项目通过校企协同攻关实现技术落地，为城市轨道交通设备升级提供示范方案，助力青岛地铁打造安全、高效的公共交通体系，同时推动本地产学研用深度融合，赋能城市轨道交通产业技术创新。
2.</t>
    </r>
    <r>
      <rPr>
        <b/>
        <sz val="11"/>
        <rFont val="等线"/>
        <family val="3"/>
        <charset val="134"/>
      </rPr>
      <t>生态效益方面</t>
    </r>
    <r>
      <rPr>
        <sz val="11"/>
        <rFont val="等线"/>
        <family val="3"/>
        <charset val="134"/>
      </rPr>
      <t xml:space="preserve">
新型胶条通过轻量化设计与配方改性，提升材料利用率，减少生产过程中的耗材浪费。胶条使用寿命大幅延长，降低备件更换频次，减少废旧胶条等固体废弃物产生，减轻环境处置压力。同时，减少因设备故障、剐蹭整改带来的能源与物料消耗，推动地铁运营向绿色低碳化发展，契合城市生态环保与可持续发展的整体要求。</t>
    </r>
  </si>
  <si>
    <r>
      <rPr>
        <b/>
        <sz val="11"/>
        <color indexed="8"/>
        <rFont val="宋体"/>
        <family val="3"/>
        <charset val="134"/>
      </rPr>
      <t>1.现状调研与样品检测：</t>
    </r>
    <r>
      <rPr>
        <sz val="11"/>
        <color indexed="8"/>
        <rFont val="宋体"/>
        <family val="3"/>
        <charset val="134"/>
      </rPr>
      <t xml:space="preserve">全面调研青岛地铁各线路站台门地槛绝缘漆的现场使用及磨损情况，采集多场景下的绝缘漆样品，联合青岛科技大学在实验室开展全性能检测，分析现有绝缘漆速干、绝缘、耐磨性能不足的核心原因。
</t>
    </r>
    <r>
      <rPr>
        <b/>
        <sz val="11"/>
        <color indexed="8"/>
        <rFont val="宋体"/>
        <family val="3"/>
        <charset val="134"/>
      </rPr>
      <t>2.新型涂料配方研发：</t>
    </r>
    <r>
      <rPr>
        <sz val="11"/>
        <color indexed="8"/>
        <rFont val="宋体"/>
        <family val="3"/>
        <charset val="134"/>
      </rPr>
      <t xml:space="preserve">依托青岛科技大学研发优势，将现有绝缘漆材质与高校自研新型涂料材质做对比试验，针对性开展高耐久速干绝缘涂料配方研发，重点优化成膜速度、绝缘电阻、耐摩擦系数等关键指标。
</t>
    </r>
    <r>
      <rPr>
        <b/>
        <sz val="11"/>
        <color indexed="8"/>
        <rFont val="宋体"/>
        <family val="3"/>
        <charset val="134"/>
      </rPr>
      <t>3.实验室性能测试与优化：</t>
    </r>
    <r>
      <rPr>
        <sz val="11"/>
        <color indexed="8"/>
        <rFont val="宋体"/>
        <family val="3"/>
        <charset val="134"/>
      </rPr>
      <t xml:space="preserve">对研发的新型绝缘涂料开展多轮实验室测试，验证速干性、长效绝缘性、耐磨性、附着力等核心性能，根据测试结果持续迭代优化配方，形成符合地铁运营场景需求的定型涂料产品。
</t>
    </r>
    <r>
      <rPr>
        <b/>
        <sz val="11"/>
        <color indexed="8"/>
        <rFont val="宋体"/>
        <family val="3"/>
        <charset val="134"/>
      </rPr>
      <t>4.现场试点涂刷与工艺调试</t>
    </r>
    <r>
      <rPr>
        <sz val="11"/>
        <color indexed="8"/>
        <rFont val="宋体"/>
        <family val="3"/>
        <charset val="134"/>
      </rPr>
      <t>：选取青岛地铁不同运营场景的试点站点，开展新型涂料现场涂刷试验，全程跟踪监测漆面干燥时间、实际绝缘效果、现场耐磨损程度，根据现场反馈优化涂料施工工艺，确保产品适配现场实际使用需求。</t>
    </r>
  </si>
  <si>
    <r>
      <rPr>
        <b/>
        <sz val="11"/>
        <color indexed="8"/>
        <rFont val="宋体"/>
        <family val="3"/>
        <charset val="134"/>
      </rPr>
      <t>1.核心性能突破创新</t>
    </r>
    <r>
      <rPr>
        <sz val="11"/>
        <color indexed="8"/>
        <rFont val="宋体"/>
        <family val="3"/>
        <charset val="134"/>
      </rPr>
      <t>：聚焦站台门地槛高频摩擦的使用痛点，提升绝缘涂料耐磨性的，同时加大绝缘性，优化速干性适配站台门地槛复杂使用场景。
2.</t>
    </r>
    <r>
      <rPr>
        <b/>
        <sz val="11"/>
        <color indexed="8"/>
        <rFont val="宋体"/>
        <family val="3"/>
        <charset val="134"/>
      </rPr>
      <t>工艺适配落地创新</t>
    </r>
    <r>
      <rPr>
        <sz val="11"/>
        <color indexed="8"/>
        <rFont val="宋体"/>
        <family val="3"/>
        <charset val="134"/>
      </rPr>
      <t>：结合地铁站台现场施工环境，优化新型涂料施工工艺，确保涂料在现场实际涂刷中能充分发挥高耐磨、速干、耐久的性能优势，降低施工难度，保障性能落地效果。</t>
    </r>
  </si>
  <si>
    <r>
      <rPr>
        <b/>
        <sz val="11"/>
        <rFont val="宋体"/>
        <family val="3"/>
        <charset val="134"/>
      </rPr>
      <t>1.现状检测与指标明确：</t>
    </r>
    <r>
      <rPr>
        <sz val="11"/>
        <rFont val="宋体"/>
        <family val="3"/>
        <charset val="134"/>
      </rPr>
      <t>校企联合拆解 3 号线现有 “铁 + 胶”、尼龙材质吊挂轮，开展红外、热重及硬度、摩擦系数、结构适配性等全性能检测，结合材料牌号、成分分析结果及现场运营数据，定位异响、不耐磨、尺寸稳定性差等核心问题，明确新一代吊挂轮耐磨、静音、力学性能及尺寸稳定性核心指标。
2.</t>
    </r>
    <r>
      <rPr>
        <b/>
        <sz val="11"/>
        <rFont val="宋体"/>
        <family val="3"/>
        <charset val="134"/>
      </rPr>
      <t>专用新材料研发：</t>
    </r>
    <r>
      <rPr>
        <sz val="11"/>
        <rFont val="宋体"/>
        <family val="3"/>
        <charset val="134"/>
      </rPr>
      <t xml:space="preserve">依托青岛科技大学材料研发平台，针对性开展吊挂轮专用新材料攻关，重点研发玻纤增强尼龙新型材料，打造兼具高耐磨性、低摩擦系数、良好结构稳定性与尺寸稳定性的吊挂轮专用材料，匹配站台门实际运行工况需求。
</t>
    </r>
    <r>
      <rPr>
        <b/>
        <sz val="11"/>
        <rFont val="宋体"/>
        <family val="3"/>
        <charset val="134"/>
      </rPr>
      <t>3.样品试制与性能测试：</t>
    </r>
    <r>
      <rPr>
        <sz val="11"/>
        <rFont val="宋体"/>
        <family val="3"/>
        <charset val="134"/>
      </rPr>
      <t xml:space="preserve">根据研发新材料特性制作新一代吊挂轮样品，在实验室完成耐磨、静音、疲劳强度、尺寸稳定性等关键性能测试，同步搭建寿命评价工装验证产品耐磨性与可靠性，确保各项指标均符合地铁运营要求。
</t>
    </r>
    <r>
      <rPr>
        <b/>
        <sz val="11"/>
        <rFont val="宋体"/>
        <family val="3"/>
        <charset val="134"/>
      </rPr>
      <t>4.现场试点装机试用：</t>
    </r>
    <r>
      <rPr>
        <sz val="11"/>
        <rFont val="宋体"/>
        <family val="3"/>
        <charset val="134"/>
      </rPr>
      <t>选取青岛地铁 3 号线试点站点，开展新一代吊挂轮现场装机试用，全程跟踪设备运行状态，检测磨损程度、异响情况、运行平稳性及尺寸变化情况。
技术推广应用：根据试点试用结果优化定型产品，制定新一代吊挂轮标准化更换、维护规范，推动在 3 号线全线规模化应用，同时形成可复制的标准化技术方案，为青岛地铁其他线路吊挂轮升级提供技术参考与实施依据。</t>
    </r>
  </si>
  <si>
    <r>
      <rPr>
        <b/>
        <sz val="11"/>
        <color indexed="8"/>
        <rFont val="宋体"/>
        <family val="3"/>
        <charset val="134"/>
      </rPr>
      <t>1.材料研发创新：</t>
    </r>
    <r>
      <rPr>
        <sz val="11"/>
        <color indexed="8"/>
        <rFont val="宋体"/>
        <family val="3"/>
        <charset val="134"/>
      </rPr>
      <t xml:space="preserve">针对 “铁 + 胶” 聚氨酯轮牌号选型不当、尼龙轮无玻纤增强引发的不耐磨、易变形、尺寸稳定性差等痛点，精准研发高硬度聚酯型浇筑聚氨酯、玻纤增强尼龙等适配材料，大幅提升工况匹配度。
</t>
    </r>
    <r>
      <rPr>
        <b/>
        <sz val="11"/>
        <color indexed="8"/>
        <rFont val="宋体"/>
        <family val="3"/>
        <charset val="134"/>
      </rPr>
      <t>2.升级服务创新：</t>
    </r>
    <r>
      <rPr>
        <sz val="11"/>
        <color indexed="8"/>
        <rFont val="宋体"/>
        <family val="3"/>
        <charset val="134"/>
      </rPr>
      <t>将 “低异响” 作为核心研发指标，以优化乘客乘车体验为导向，兼顾设备耐磨、稳定等性能提升与出行感官体验，实现技术创新与客运服务提质深度结合。</t>
    </r>
    <r>
      <rPr>
        <b/>
        <sz val="11"/>
        <color indexed="8"/>
        <rFont val="宋体"/>
        <family val="3"/>
        <charset val="134"/>
      </rPr>
      <t xml:space="preserve">
3.全方位适配创新：</t>
    </r>
    <r>
      <rPr>
        <sz val="11"/>
        <color indexed="8"/>
        <rFont val="宋体"/>
        <family val="3"/>
        <charset val="134"/>
      </rPr>
      <t>研发中兼顾耐磨性、静音性核心性能与尺寸稳定性、抗吸水性、负载能力等适配指标，解决传统材料吸水胀、蠕变大等问题，保障部件全生命周期稳定运行。</t>
    </r>
  </si>
  <si>
    <r>
      <rPr>
        <sz val="11"/>
        <color indexed="8"/>
        <rFont val="宋体"/>
        <family val="3"/>
        <charset val="134"/>
      </rPr>
      <t xml:space="preserve">本项目通过研发适配的新型吊挂轮材料并优化结构，精准解决传统轮体异响、不耐磨、易变形等问题，从运维成本、耗材消耗、设备管理、效率提升多维度实现经济价值，降本增效效果显著，具体如下：
</t>
    </r>
    <r>
      <rPr>
        <b/>
        <sz val="11"/>
        <color indexed="8"/>
        <rFont val="宋体"/>
        <family val="3"/>
        <charset val="134"/>
      </rPr>
      <t>大幅降低运维人工与更换成本：</t>
    </r>
    <r>
      <rPr>
        <sz val="11"/>
        <color indexed="8"/>
        <rFont val="宋体"/>
        <family val="3"/>
        <charset val="134"/>
      </rPr>
      <t xml:space="preserve">新型吊挂轮耐磨性、稳定性大幅提升，解决传统轮体易磨损、易故障问题，延长部件使用寿命，减少日常巡检、维修频次及轮体更换次数，直接节约运维人工成本与备件采购费用，避免频繁更换带来的重复资金投入。
</t>
    </r>
    <r>
      <rPr>
        <b/>
        <sz val="11"/>
        <color indexed="8"/>
        <rFont val="宋体"/>
        <family val="3"/>
        <charset val="134"/>
      </rPr>
      <t>控制材料与施工综合成本：</t>
    </r>
    <r>
      <rPr>
        <sz val="11"/>
        <color indexed="8"/>
        <rFont val="宋体"/>
        <family val="3"/>
        <charset val="134"/>
      </rPr>
      <t xml:space="preserve">玻纤增强尼龙相较高硬度浇筑聚氨酯更具价格优势，在保证性能达标的同时降低材料研发与生产制造成本；且轮体适配现有站台门结构，更换施工无需改造设备，减少施工人工与辅料消耗，进一步压缩施工成本。
</t>
    </r>
    <r>
      <rPr>
        <b/>
        <sz val="11"/>
        <color indexed="8"/>
        <rFont val="宋体"/>
        <family val="3"/>
        <charset val="134"/>
      </rPr>
      <t>降低设备关联故障损失：</t>
    </r>
    <r>
      <rPr>
        <sz val="11"/>
        <color indexed="8"/>
        <rFont val="宋体"/>
        <family val="3"/>
        <charset val="134"/>
      </rPr>
      <t xml:space="preserve">从根源解决轮体异响、变形问题，避免因轮体故障引发的站台门卡滞、运行不畅等设备连锁故障，减少设备故障导致的运营调整、部件二次维修等额外经济支出，保障站台门设备稳定运行，降低故障处置成本。
</t>
    </r>
    <r>
      <rPr>
        <b/>
        <sz val="11"/>
        <color indexed="8"/>
        <rFont val="宋体"/>
        <family val="3"/>
        <charset val="134"/>
      </rPr>
      <t>提升运营效率与资金使用效率：</t>
    </r>
    <r>
      <rPr>
        <sz val="11"/>
        <color indexed="8"/>
        <rFont val="宋体"/>
        <family val="3"/>
        <charset val="134"/>
      </rPr>
      <t>新型吊挂轮适配性强，可直接匹配现有站台门结构，无需大规模改造设备，节约设备改造成本；同时成熟的升级方案可快速在 3 号线全线及其他线路推广，形成规模化应用优势，降低后续线路升级的研发、适配成本，提升项目整体资金使用效率。</t>
    </r>
  </si>
  <si>
    <r>
      <rPr>
        <b/>
        <sz val="11"/>
        <color indexed="8"/>
        <rFont val="宋体"/>
        <family val="3"/>
        <charset val="134"/>
      </rPr>
      <t>一是</t>
    </r>
    <r>
      <rPr>
        <sz val="11"/>
        <color indexed="8"/>
        <rFont val="宋体"/>
        <family val="3"/>
        <charset val="134"/>
      </rPr>
      <t xml:space="preserve">大幅降低站台门运行异响，从根源优化地铁乘车环境，显著提升市民公共交通出行的舒适度与体验感。
</t>
    </r>
    <r>
      <rPr>
        <b/>
        <sz val="11"/>
        <color indexed="8"/>
        <rFont val="宋体"/>
        <family val="3"/>
        <charset val="134"/>
      </rPr>
      <t>二是</t>
    </r>
    <r>
      <rPr>
        <sz val="11"/>
        <color indexed="8"/>
        <rFont val="宋体"/>
        <family val="3"/>
        <charset val="134"/>
      </rPr>
      <t xml:space="preserve">轮体耐磨抗变形、尺寸稳定性强，有效减少站台门故障频次，避免设备问题引发的运营中断，保障地铁线路高效有序运行，提升城市公共交通整体运营效率。
</t>
    </r>
    <r>
      <rPr>
        <b/>
        <sz val="11"/>
        <color indexed="8"/>
        <rFont val="宋体"/>
        <family val="3"/>
        <charset val="134"/>
      </rPr>
      <t>三是</t>
    </r>
    <r>
      <rPr>
        <sz val="11"/>
        <color indexed="8"/>
        <rFont val="宋体"/>
        <family val="3"/>
        <charset val="134"/>
      </rPr>
      <t>部件全生命周期性能稳定，进一步筑牢地铁站台门设备运行安全防线，切实保障市民出行安全。四是形成可复制、可推广的站台门部件低成本升级方案，为城市轨道交通配套设施技术优化提供本土化参考，助力轨道交通行业高质量发展</t>
    </r>
  </si>
  <si>
    <r>
      <rPr>
        <b/>
        <sz val="11"/>
        <color indexed="8"/>
        <rFont val="宋体"/>
        <family val="3"/>
        <charset val="134"/>
      </rPr>
      <t>现状检测与方案确定：</t>
    </r>
    <r>
      <rPr>
        <sz val="11"/>
        <color indexed="8"/>
        <rFont val="宋体"/>
        <family val="3"/>
        <charset val="134"/>
      </rPr>
      <t xml:space="preserve">联合厂家开展车载信标天线振动测试，明确振动超标为故障核心成因，调研行业成熟案例后，确定加装高阻尼橡胶减震器的改造方案，验证方案技术可行性与设备适配性。
</t>
    </r>
    <r>
      <rPr>
        <b/>
        <sz val="11"/>
        <color indexed="8"/>
        <rFont val="宋体"/>
        <family val="3"/>
        <charset val="134"/>
      </rPr>
      <t>专用减震设备采购：</t>
    </r>
    <r>
      <rPr>
        <sz val="11"/>
        <color indexed="8"/>
        <rFont val="宋体"/>
        <family val="3"/>
        <charset val="134"/>
      </rPr>
      <t xml:space="preserve">采购适配 2 号线信标天线的高阻尼橡胶减震装置 88 套，每套含 M10 合金钢螺栓、碳钢垫片及耐磨天然橡胶主副圈等配件，满足设备安装技术参数要求。
</t>
    </r>
    <r>
      <rPr>
        <b/>
        <sz val="11"/>
        <color indexed="8"/>
        <rFont val="宋体"/>
        <family val="3"/>
        <charset val="134"/>
      </rPr>
      <t>自主实施安装改造：</t>
    </r>
    <r>
      <rPr>
        <sz val="11"/>
        <color indexed="8"/>
        <rFont val="宋体"/>
        <family val="3"/>
        <charset val="134"/>
      </rPr>
      <t xml:space="preserve">按标准流程在既有信标天线上加装减震器，每台天线用 6 个 W12 型减震器套件固定，按原位置顺序安装，紧固扭矩控制在 75N・m，实现信标天线与安装座的橡胶弹性连接，减小振动传递。
</t>
    </r>
    <r>
      <rPr>
        <b/>
        <sz val="11"/>
        <color indexed="8"/>
        <rFont val="宋体"/>
        <family val="3"/>
        <charset val="134"/>
      </rPr>
      <t>全流程测试与验收：</t>
    </r>
    <r>
      <rPr>
        <sz val="11"/>
        <color indexed="8"/>
        <rFont val="宋体"/>
        <family val="3"/>
        <charset val="134"/>
      </rPr>
      <t>改造后开展振动测试、信标信息传输测试，验证振动幅度与设备功能达标；全程跟踪设备运行状态，检测接头磨损、丢信标情况，完成过程验收与竣工验收，确保改造效果。</t>
    </r>
  </si>
  <si>
    <r>
      <rPr>
        <b/>
        <sz val="11"/>
        <color indexed="8"/>
        <rFont val="宋体"/>
        <family val="3"/>
        <charset val="134"/>
      </rPr>
      <t>技术创新</t>
    </r>
    <r>
      <rPr>
        <sz val="11"/>
        <color indexed="8"/>
        <rFont val="宋体"/>
        <family val="3"/>
        <charset val="134"/>
      </rPr>
      <t xml:space="preserve">：针对振动超标这一核心故障成因，通过加装高阻尼橡胶减震器优化设备安装方式，从根源降低振动幅度，解决信标天线及接头磨损的本质问题。
</t>
    </r>
    <r>
      <rPr>
        <b/>
        <sz val="11"/>
        <color indexed="8"/>
        <rFont val="宋体"/>
        <family val="3"/>
        <charset val="134"/>
      </rPr>
      <t>结构创新：</t>
    </r>
    <r>
      <rPr>
        <sz val="11"/>
        <color indexed="8"/>
        <rFont val="宋体"/>
        <family val="3"/>
        <charset val="134"/>
      </rPr>
      <t>定制化选用适配 2 号线既有信标天线的减震器套件，改造前后系统原理不变，无需大规模改动设备，仅优化安装固定结构，实现低成本、高适配的技术改造，兼顾实用性与经济性。</t>
    </r>
  </si>
  <si>
    <r>
      <rPr>
        <b/>
        <sz val="11"/>
        <color indexed="8"/>
        <rFont val="宋体"/>
        <family val="3"/>
        <charset val="134"/>
      </rPr>
      <t>提升运营安全水平：</t>
    </r>
    <r>
      <rPr>
        <sz val="11"/>
        <color indexed="8"/>
        <rFont val="宋体"/>
        <family val="3"/>
        <charset val="134"/>
      </rPr>
      <t xml:space="preserve">改造后信标信息传输稳定，彻底解决丢信标引发的列车定位丢失、失去冗余等问题，消除列车紧制、限速行车的安全隐患，筑牢 2 号线列车运行的安全防线，保障市民出行安全。
</t>
    </r>
    <r>
      <rPr>
        <b/>
        <sz val="11"/>
        <color indexed="8"/>
        <rFont val="宋体"/>
        <family val="3"/>
        <charset val="134"/>
      </rPr>
      <t>提高线路运营效率：</t>
    </r>
    <r>
      <rPr>
        <sz val="11"/>
        <color indexed="8"/>
        <rFont val="宋体"/>
        <family val="3"/>
        <charset val="134"/>
      </rPr>
      <t xml:space="preserve">避免因设备故障导致的行车调整与运营中断，保障列车按标准速度正常运行，提升线路整体运输效率，为市民提供更顺畅、准时的地铁出行服务。
</t>
    </r>
    <r>
      <rPr>
        <b/>
        <sz val="11"/>
        <color indexed="8"/>
        <rFont val="宋体"/>
        <family val="3"/>
        <charset val="134"/>
      </rPr>
      <t>优化运维服务体系：</t>
    </r>
    <r>
      <rPr>
        <sz val="11"/>
        <color indexed="8"/>
        <rFont val="宋体"/>
        <family val="3"/>
        <charset val="134"/>
      </rPr>
      <t xml:space="preserve">设备故障率大幅降低，让运维资源从频繁的故障抢修转向核心安全保障与预防性维护，提升地铁运维精细化、专业化水平，推动运营服务质量升级。
</t>
    </r>
    <r>
      <rPr>
        <b/>
        <sz val="11"/>
        <color indexed="8"/>
        <rFont val="宋体"/>
        <family val="3"/>
        <charset val="134"/>
      </rPr>
      <t>形成行业示范经验：</t>
    </r>
    <r>
      <rPr>
        <sz val="11"/>
        <color indexed="8"/>
        <rFont val="宋体"/>
        <family val="3"/>
        <charset val="134"/>
      </rPr>
      <t>针对同系统设备振动故障形成了低成本、易推广、效果佳的减震优化改造方案，为国内其他城市地铁同类型设备故障解决提供可复制、可借鉴的实操经验，助力城市轨道交通行业技术优化与运维升级。</t>
    </r>
  </si>
  <si>
    <r>
      <rPr>
        <b/>
        <sz val="11"/>
        <color indexed="8"/>
        <rFont val="宋体"/>
        <family val="3"/>
        <charset val="134"/>
      </rPr>
      <t>原位增配冗余架构：</t>
    </r>
    <r>
      <rPr>
        <sz val="11"/>
        <color indexed="8"/>
        <rFont val="宋体"/>
        <family val="3"/>
        <charset val="134"/>
      </rPr>
      <t xml:space="preserve">不拆除现有电源设备，仅在其基础上增加 1 套 UPS、稳压器、蓄电池、切换屏及相关电源模块，直接搭建双 UPS、双母线配置，最大化利旧既有设备，避免资源浪费，实现供电冗余的轻量化、低成本升级。
</t>
    </r>
    <r>
      <rPr>
        <b/>
        <sz val="11"/>
        <color indexed="8"/>
        <rFont val="宋体"/>
        <family val="3"/>
        <charset val="134"/>
      </rPr>
      <t>全维度兼容适配：</t>
    </r>
    <r>
      <rPr>
        <sz val="11"/>
        <color indexed="8"/>
        <rFont val="宋体"/>
        <family val="3"/>
        <charset val="134"/>
      </rPr>
      <t xml:space="preserve">精准设计新增设备参数，确保其与既有 UPS 完全互通互用，且新增设备软件与既有系统深度兼容，改造不改变原有系统原理，实现新旧设备无缝衔接、协同运行，大幅降低改造适配风险与对现有系统的干扰。
</t>
    </r>
    <r>
      <rPr>
        <b/>
        <sz val="11"/>
        <color indexed="8"/>
        <rFont val="宋体"/>
        <family val="3"/>
        <charset val="134"/>
      </rPr>
      <t>双路互备安全升级</t>
    </r>
    <r>
      <rPr>
        <sz val="11"/>
        <color indexed="8"/>
        <rFont val="宋体"/>
        <family val="3"/>
        <charset val="134"/>
      </rPr>
      <t>：通过增配核心冗余设施形成双 UPS、双母线供电结构，实现两路电源独立供电、互相备份，从硬件架构上彻底解决单 UPS 单母线无备份的弊端，杜绝单设备故障引发的信号设备全掉电问题，大幅提升供电可靠性与容错能力。</t>
    </r>
  </si>
  <si>
    <r>
      <rPr>
        <b/>
        <sz val="11"/>
        <color indexed="8"/>
        <rFont val="宋体"/>
        <family val="3"/>
        <charset val="134"/>
      </rPr>
      <t>1.硬件安装验收</t>
    </r>
    <r>
      <rPr>
        <sz val="11"/>
        <color indexed="8"/>
        <rFont val="宋体"/>
        <family val="3"/>
        <charset val="134"/>
      </rPr>
      <t>：新增 UPS、稳压器、蓄电池、切换屏及电源模块等设备安装固定牢固，无松动、变形，配线采用低烟无卤线缆，接线端子压接牢固、标识清晰，无虚接错接；蓄电池排列整齐、连接规范，电池架接地到位；所有安装附件规格匹配，设备出厂合格证、检验报告等资料齐全完整。
2.</t>
    </r>
    <r>
      <rPr>
        <b/>
        <sz val="11"/>
        <color indexed="8"/>
        <rFont val="宋体"/>
        <family val="3"/>
        <charset val="134"/>
      </rPr>
      <t>设备兼容互通验收：</t>
    </r>
    <r>
      <rPr>
        <sz val="11"/>
        <color indexed="8"/>
        <rFont val="宋体"/>
        <family val="3"/>
        <charset val="134"/>
      </rPr>
      <t>新增 UPS 与既有 UPS 实现互通互用，支持主备自动 / 手动切换；新增设备软件与既有系统完全兼容，无冲突、无数据异常，可纳入既有系统统一管理，原有系统功能保持正常，新旧设备协同运行无干扰。
3.</t>
    </r>
    <r>
      <rPr>
        <b/>
        <sz val="11"/>
        <color indexed="8"/>
        <rFont val="宋体"/>
        <family val="3"/>
        <charset val="134"/>
      </rPr>
      <t>双母线系统功能验收：</t>
    </r>
    <r>
      <rPr>
        <sz val="11"/>
        <color indexed="8"/>
        <rFont val="宋体"/>
        <family val="3"/>
        <charset val="134"/>
      </rPr>
      <t>双 UPS、双母线供电架构运行正常，两路电源独立供电、互相备份，单路设备故障时切换无供电中断，切换屏交流输出切换时间、直流并联无间断供电均符合技术规格书要求，系统过压、欠压、过载等保护功能有效。
4.</t>
    </r>
    <r>
      <rPr>
        <b/>
        <sz val="11"/>
        <color indexed="8"/>
        <rFont val="宋体"/>
        <family val="3"/>
        <charset val="134"/>
      </rPr>
      <t>运行参数验收：</t>
    </r>
    <r>
      <rPr>
        <sz val="11"/>
        <color indexed="8"/>
        <rFont val="宋体"/>
        <family val="3"/>
        <charset val="134"/>
      </rPr>
      <t>新增及既有设备输入输出电压、频率、电流等参数符合设计标准，UPS 整机效率≥85%，设备运行音响杂音≤55dB；蓄电池电压、内阻、温度等指标正常，电池巡检仪采集数据精准，无偏差漏测。
5.</t>
    </r>
    <r>
      <rPr>
        <b/>
        <sz val="11"/>
        <color indexed="8"/>
        <rFont val="宋体"/>
        <family val="3"/>
        <charset val="134"/>
      </rPr>
      <t>监测接入验收：</t>
    </r>
    <r>
      <rPr>
        <sz val="11"/>
        <color indexed="8"/>
        <rFont val="宋体"/>
        <family val="3"/>
        <charset val="134"/>
      </rPr>
      <t>改造后电源系统信息成功接入既有信号监测系统，可实时上传设备运行参数、状态及告警信息，监测数据准确、传输稳定，具备历史数据查询、故障声光告警功能，满足远程监控运维要求。</t>
    </r>
  </si>
  <si>
    <r>
      <rPr>
        <sz val="11"/>
        <color indexed="8"/>
        <rFont val="宋体"/>
        <family val="3"/>
        <charset val="134"/>
      </rPr>
      <t xml:space="preserve">
1.</t>
    </r>
    <r>
      <rPr>
        <b/>
        <sz val="11"/>
        <color indexed="8"/>
        <rFont val="宋体"/>
        <family val="3"/>
        <charset val="134"/>
      </rPr>
      <t>降低故障处置成本</t>
    </r>
    <r>
      <rPr>
        <sz val="11"/>
        <color indexed="8"/>
        <rFont val="宋体"/>
        <family val="3"/>
        <charset val="134"/>
      </rPr>
      <t>：彻底解决单 UPS 故障导致的供电中断问题，避免信号设备掉电引发的行车调整、应急抢修等费用，按历史故障案例测算，每年减少故障直接处置成本约 200-300 万元。
2.</t>
    </r>
    <r>
      <rPr>
        <b/>
        <sz val="11"/>
        <color indexed="8"/>
        <rFont val="宋体"/>
        <family val="3"/>
        <charset val="134"/>
      </rPr>
      <t>节约设备运维成本：</t>
    </r>
    <r>
      <rPr>
        <sz val="11"/>
        <color indexed="8"/>
        <rFont val="宋体"/>
        <family val="3"/>
        <charset val="134"/>
      </rPr>
      <t>冗余体系大幅降低电源设备故障率，减少 UPS、蓄电池、电源屏等设备的巡检、维修与更换频次，每年节约设备运维及备件采购费用约 150-200 万元。
3.</t>
    </r>
    <r>
      <rPr>
        <b/>
        <sz val="11"/>
        <color indexed="8"/>
        <rFont val="宋体"/>
        <family val="3"/>
        <charset val="134"/>
      </rPr>
      <t>减少运营间接损失</t>
    </r>
    <r>
      <rPr>
        <sz val="11"/>
        <color indexed="8"/>
        <rFont val="宋体"/>
        <family val="3"/>
        <charset val="134"/>
      </rPr>
      <t>：避免因供电故障导致的列车紧制、限速行驶、运营中断等问题，保障线路运输效率，每年减少运营收入损失及客诉补偿等间接成本约 300-400 万元。
4.</t>
    </r>
    <r>
      <rPr>
        <b/>
        <sz val="11"/>
        <color indexed="8"/>
        <rFont val="宋体"/>
        <family val="3"/>
        <charset val="134"/>
      </rPr>
      <t>提升资金使用效率：</t>
    </r>
    <r>
      <rPr>
        <sz val="11"/>
        <color indexed="8"/>
        <rFont val="宋体"/>
        <family val="3"/>
        <charset val="134"/>
      </rPr>
      <t>通过设备统型、利旧库存、低价采购等方式，单站改造成本较行业平均水平降低约 30%，且分阶段实施减少资金一次性投入压力；改造后设备使用寿命延长，大幅提升资产使用效率。</t>
    </r>
  </si>
  <si>
    <r>
      <rPr>
        <b/>
        <sz val="11"/>
        <color indexed="8"/>
        <rFont val="宋体"/>
        <family val="3"/>
        <charset val="134"/>
      </rPr>
      <t>筑牢运营安全防线：</t>
    </r>
    <r>
      <rPr>
        <sz val="11"/>
        <color indexed="8"/>
        <rFont val="宋体"/>
        <family val="3"/>
        <charset val="134"/>
      </rPr>
      <t xml:space="preserve">双 UPS 双母线冗余供电体系从根本上杜绝电源单故障导致的信号设备失电问题，保障 ATS、ATP、ATO 等核心信号设备稳定运行，避免行车安全隐患，切实保障市民地铁出行安全。
</t>
    </r>
    <r>
      <rPr>
        <b/>
        <sz val="11"/>
        <color indexed="8"/>
        <rFont val="宋体"/>
        <family val="3"/>
        <charset val="134"/>
      </rPr>
      <t>提升线路运营效率：</t>
    </r>
    <r>
      <rPr>
        <sz val="11"/>
        <color indexed="8"/>
        <rFont val="宋体"/>
        <family val="3"/>
        <charset val="134"/>
      </rPr>
      <t>彻底解决因供电故障引发的列车紧制、限速、运营中断等问题，保障各线路按计划正常运行，提升列车准点率与线路运输能力，为市民提供更顺畅、准时的公共交通服务。</t>
    </r>
    <r>
      <rPr>
        <b/>
        <sz val="11"/>
        <color indexed="8"/>
        <rFont val="宋体"/>
        <family val="3"/>
        <charset val="134"/>
      </rPr>
      <t xml:space="preserve">
践行行业规范要求：</t>
    </r>
    <r>
      <rPr>
        <sz val="11"/>
        <color indexed="8"/>
        <rFont val="宋体"/>
        <family val="3"/>
        <charset val="134"/>
      </rPr>
      <t xml:space="preserve">严格落实国家交通运输部信号电源系统设计规范，成为城市轨道交通信号电源合规化改造的标杆案例，为行业内同类项目改造提供合规化落地参考。
</t>
    </r>
    <r>
      <rPr>
        <b/>
        <sz val="11"/>
        <color indexed="8"/>
        <rFont val="宋体"/>
        <family val="3"/>
        <charset val="134"/>
      </rPr>
      <t>优化城市公共服务：</t>
    </r>
    <r>
      <rPr>
        <sz val="11"/>
        <color indexed="8"/>
        <rFont val="宋体"/>
        <family val="3"/>
        <charset val="134"/>
      </rPr>
      <t>作为城市核心公共交通，地铁供电稳定性的提升直接优化城市公共交通服务质量，助力青岛打造安全、高效、便捷的城市公共交通体系，提升城市综合服务能力与市</t>
    </r>
    <r>
      <rPr>
        <b/>
        <sz val="11"/>
        <color indexed="8"/>
        <rFont val="宋体"/>
        <family val="3"/>
        <charset val="134"/>
      </rPr>
      <t>民出行幸福感。
形成行业推广经验：</t>
    </r>
    <r>
      <rPr>
        <sz val="11"/>
        <color indexed="8"/>
        <rFont val="宋体"/>
        <family val="3"/>
        <charset val="134"/>
      </rPr>
      <t>结合多线路、多工况实际打造的信号电源双 UPS 双母线改造方案，兼具合规性、实用性与经济性，为国内其他城市地铁多线路电源系统升级改造提供可复制、可落地的实操经验，推动行业技术进步。</t>
    </r>
  </si>
  <si>
    <r>
      <rPr>
        <sz val="11"/>
        <rFont val="宋体"/>
        <family val="3"/>
        <charset val="134"/>
      </rPr>
      <t>通过分析6号线生产运作中运输、调度、服务等工作场景、运作流程中存在的问题，拓宽ATS与机电、供电、车辆专业设备数据通信通道，挖掘综合监控、电力监控、车辆辅助控制等相关数据信息，</t>
    </r>
    <r>
      <rPr>
        <b/>
        <sz val="11"/>
        <color indexed="8"/>
        <rFont val="宋体"/>
        <family val="3"/>
        <charset val="134"/>
      </rPr>
      <t>在线网首次提出多系统场景联动，</t>
    </r>
    <r>
      <rPr>
        <sz val="11"/>
        <color indexed="8"/>
        <rFont val="宋体"/>
        <family val="3"/>
        <charset val="134"/>
      </rPr>
      <t>并形成实施方案，实现TACS系统与其他生产系统数据全量打通，探索更智能、更高效的运维策略，实现故障情况下的快速响应和智能处置。</t>
    </r>
  </si>
  <si>
    <r>
      <rPr>
        <sz val="11"/>
        <rFont val="宋体"/>
        <family val="3"/>
        <charset val="134"/>
      </rPr>
      <t>切换优化：</t>
    </r>
    <r>
      <rPr>
        <sz val="11"/>
        <color indexed="8"/>
        <rFont val="宋体"/>
        <family val="3"/>
        <charset val="134"/>
      </rPr>
      <t xml:space="preserve">第一代的Netbox在网络切换的工作原理存在缺陷，在红蓝网切换的过程中会导致彻底通信中断，进而造成列车紧制。优化后整车同时接入红蓝网，单端出现问题不会影响列车正常运行。
</t>
    </r>
    <r>
      <rPr>
        <b/>
        <sz val="11"/>
        <color indexed="8"/>
        <rFont val="宋体"/>
        <family val="3"/>
        <charset val="134"/>
      </rPr>
      <t>接入优化：</t>
    </r>
    <r>
      <rPr>
        <sz val="11"/>
        <color indexed="8"/>
        <rFont val="宋体"/>
        <family val="3"/>
        <charset val="134"/>
      </rPr>
      <t>由单端接入双网变为单端接入单网，优化网络接入通道。
检测机制优化：由之前不检测入网情况变为检测入网情况，若未成功入网，则进行自重启。</t>
    </r>
  </si>
  <si>
    <r>
      <rPr>
        <sz val="11"/>
        <rFont val="宋体"/>
        <family val="3"/>
        <charset val="134"/>
      </rPr>
      <t>1. 提升处置精度，防范安全风险。</t>
    </r>
    <r>
      <rPr>
        <sz val="11"/>
        <color indexed="8"/>
        <rFont val="等线"/>
        <family val="3"/>
        <charset val="134"/>
      </rPr>
      <t xml:space="preserve"> 有效提升生产、安全、技术类问题处置的专业性与精准度，打破核心业务知识仅掌握在少数人员手中的壁垒，实现专业经验规模化复用，从源头降低因经验不足、判断偏差引发的风险。
</t>
    </r>
    <r>
      <rPr>
        <b/>
        <sz val="11"/>
        <color indexed="8"/>
        <rFont val="等线"/>
        <family val="3"/>
        <charset val="134"/>
      </rPr>
      <t>2. 保持自主可控，赋能业务规范。</t>
    </r>
    <r>
      <rPr>
        <sz val="11"/>
        <color indexed="8"/>
        <rFont val="等线"/>
        <family val="3"/>
        <charset val="134"/>
      </rPr>
      <t xml:space="preserve"> 实现模型全流程自主可控，可依据最新技术规范、业务资料持续迭代优化，确保输出内容高准确率、高时效性。为生产组织、安全管控、技术革新提供权威、前沿的理论支撑与实操指引，推动业务处置标准化、规范化、专业化，助力技术能力稳步提升。
</t>
    </r>
    <r>
      <rPr>
        <b/>
        <sz val="11"/>
        <color indexed="8"/>
        <rFont val="等线"/>
        <family val="3"/>
        <charset val="134"/>
      </rPr>
      <t xml:space="preserve">3. 转化稀缺经验，实现减负增效。 </t>
    </r>
    <r>
      <rPr>
        <sz val="11"/>
        <color indexed="8"/>
        <rFont val="等线"/>
        <family val="3"/>
        <charset val="134"/>
      </rPr>
      <t xml:space="preserve">打破核心经验封闭瓶颈，将稀缺专业能力转化为可共享、可复用的标准化知识，降低一线人员学习与操作门槛，简化业务处置流程。减少因经验差异、知识盲区导致的重复检修、误操作等问题。
</t>
    </r>
    <r>
      <rPr>
        <b/>
        <sz val="11"/>
        <color indexed="8"/>
        <rFont val="等线"/>
        <family val="3"/>
        <charset val="134"/>
      </rPr>
      <t>4. 优化管理模式，提升运营效能。</t>
    </r>
    <r>
      <rPr>
        <sz val="11"/>
        <color indexed="8"/>
        <rFont val="等线"/>
        <family val="3"/>
        <charset val="134"/>
      </rPr>
      <t xml:space="preserve"> 通过智能知识体系的建设与应用，持续优化业务处置模式，提升整体运营管理精细化水平，降低因人员、技术、经验等因素带来的风险。</t>
    </r>
  </si>
  <si>
    <r>
      <rPr>
        <sz val="11"/>
        <rFont val="宋体"/>
        <family val="3"/>
        <charset val="134"/>
      </rPr>
      <t xml:space="preserve">1.调查设备现状。一是AP离线统计分析；二是AP离线处置情况；三是开展全线AP网卡自检，确认AP硬件状态；四是开展信号车载网卡自检，确认车载无线单元状态。
</t>
    </r>
    <r>
      <rPr>
        <b/>
        <sz val="11"/>
        <rFont val="宋体"/>
        <family val="3"/>
        <charset val="134"/>
      </rPr>
      <t>2.加装滤波装置。</t>
    </r>
    <r>
      <rPr>
        <sz val="11"/>
        <rFont val="宋体"/>
        <family val="3"/>
        <charset val="134"/>
      </rPr>
      <t>在AP箱内的通道上加装带通滤波装置，提升通道抗干扰能力，降低AP离线发生率。</t>
    </r>
  </si>
  <si>
    <r>
      <rPr>
        <sz val="11"/>
        <rFont val="宋体"/>
        <family val="3"/>
        <charset val="134"/>
      </rPr>
      <t xml:space="preserve">一、直接效益
</t>
    </r>
    <r>
      <rPr>
        <b/>
        <sz val="11"/>
        <color indexed="8"/>
        <rFont val="等线"/>
        <family val="3"/>
        <charset val="134"/>
      </rPr>
      <t>1.攻克AP离线难题，AP离线频次下降90%以上，显著提升车地无线通信稳定性。</t>
    </r>
    <r>
      <rPr>
        <sz val="11"/>
        <color indexed="8"/>
        <rFont val="等线"/>
        <family val="3"/>
        <charset val="134"/>
      </rPr>
      <t xml:space="preserve">从根源上解决AP设备长期运行导致的离线红点、车地通信中断问题，保障车地无线通信连续稳定，防范因通信中断引发的列车降级、运营延误等问题，全力守护线路运营安全与乘客出行平安。
</t>
    </r>
    <r>
      <rPr>
        <b/>
        <sz val="11"/>
        <color indexed="8"/>
        <rFont val="等线"/>
        <family val="3"/>
        <charset val="134"/>
      </rPr>
      <t>2.降低AP维护成本。</t>
    </r>
    <r>
      <rPr>
        <sz val="11"/>
        <color indexed="8"/>
        <rFont val="等线"/>
        <family val="3"/>
        <charset val="134"/>
      </rPr>
      <t xml:space="preserve">通过加装滤波装置提升AP设备运行稳定性，减少因AP离线造成的远程重启、现场排查和应急处置工作量，降低AP设备维修、更换备件成本，减少运营期间发生AP离线的人员值守保障投入。
二、间接效益
</t>
    </r>
    <r>
      <rPr>
        <b/>
        <sz val="11"/>
        <color indexed="8"/>
        <rFont val="等线"/>
        <family val="3"/>
        <charset val="134"/>
      </rPr>
      <t>1.积累运维经验：</t>
    </r>
    <r>
      <rPr>
        <sz val="11"/>
        <color indexed="8"/>
        <rFont val="等线"/>
        <family val="3"/>
        <charset val="134"/>
      </rPr>
      <t>应用系统思维全面开展硬件排查、通信抗干扰治理，积累了AP系统智慧优化、预测性维护的相关技术经验及处置方法，为后续同类线路AP设备优化提供参考。</t>
    </r>
  </si>
  <si>
    <r>
      <rPr>
        <sz val="11"/>
        <rFont val="宋体"/>
        <family val="3"/>
        <charset val="134"/>
      </rPr>
      <t>1、打破代码“黑盒”，自主攻破ATS系统服务器监测软件中，运行状态检查不全难题。</t>
    </r>
    <r>
      <rPr>
        <sz val="11"/>
        <rFont val="等线"/>
        <family val="3"/>
        <charset val="134"/>
      </rPr>
      <t>全面梳理所有shell文件源码、函数调用关系及参数控制逻辑，为精准诊断奠定底层基础。
2、建立基于状态基线的前置预警机制，将故障发现节点由“业务异常”提前至“程序状态异常”，实现从被动响应向主动预警的跨越，</t>
    </r>
    <r>
      <rPr>
        <b/>
        <sz val="11"/>
        <rFont val="等线"/>
        <family val="3"/>
        <charset val="134"/>
      </rPr>
      <t>将故障响应时间缩短50%，故障处置效率提升80%。</t>
    </r>
    <r>
      <rPr>
        <sz val="11"/>
        <rFont val="等线"/>
        <family val="3"/>
        <charset val="134"/>
      </rPr>
      <t xml:space="preserve">
3、</t>
    </r>
    <r>
      <rPr>
        <b/>
        <sz val="11"/>
        <rFont val="等线"/>
        <family val="3"/>
        <charset val="134"/>
      </rPr>
      <t>系统性消除原检查手段在进程功能验证，协同状态监控方面的盲区</t>
    </r>
    <r>
      <rPr>
        <sz val="11"/>
        <rFont val="等线"/>
        <family val="3"/>
        <charset val="134"/>
      </rPr>
      <t>，实现ATS系统状态检查的“全覆盖、无死角”，为高可靠运维提供技术保障。</t>
    </r>
  </si>
  <si>
    <r>
      <rPr>
        <sz val="11"/>
        <rFont val="宋体"/>
        <family val="3"/>
        <charset val="134"/>
      </rPr>
      <t xml:space="preserve">本项目聚焦 ATS 系统故障隐蔽、处置滞后、运维被动等核心痛点，构建精准预判、快速处置、智慧运维的一体化保障体系，全面破解隐性故障难发现、应急响应不及时、检修模式传统低效等难题，全方位提升行车运营稳定性与运维管理水平，各项效益效果显著，具体如下：
</t>
    </r>
    <r>
      <rPr>
        <b/>
        <sz val="11"/>
        <color indexed="8"/>
        <rFont val="等线"/>
        <family val="3"/>
        <charset val="134"/>
      </rPr>
      <t>一、社会效益：保障行车准点畅通，守护乘客出行体验</t>
    </r>
    <r>
      <rPr>
        <sz val="11"/>
        <color indexed="8"/>
        <rFont val="等线"/>
        <family val="3"/>
        <charset val="134"/>
      </rPr>
      <t xml:space="preserve">
通过提前识别并主动处置 ATS 系统隐性故障，有效规避因程序僵滞、主备切换异常等问题引发的列车晚点、运行中断等运营风险，切实保障线路行车正点率，将整体故障处置效率提升80%。
</t>
    </r>
    <r>
      <rPr>
        <b/>
        <sz val="11"/>
        <color indexed="8"/>
        <rFont val="等线"/>
        <family val="3"/>
        <charset val="134"/>
      </rPr>
      <t>二、应急处置效率：秒级精准定位故障，全面提升处置效能</t>
    </r>
    <r>
      <rPr>
        <sz val="11"/>
        <color indexed="8"/>
        <rFont val="等线"/>
        <family val="3"/>
        <charset val="134"/>
      </rPr>
      <t xml:space="preserve">
将问题识别与研判时间由 “分钟级” 压缩至 “秒级”，隐患发现时间提升95%，大幅减少故障误判、重复排查等低效环节，显著缩短应急响应与故障处置周期。实现异常情况早发现、快处置，有效防止故障扩大蔓延，全面提升应急抢修效率与现场处置能力，筑牢行车安全应急保障防线。
</t>
    </r>
    <r>
      <rPr>
        <b/>
        <sz val="11"/>
        <color indexed="8"/>
        <rFont val="等线"/>
        <family val="3"/>
        <charset val="134"/>
      </rPr>
      <t>三、运维模式效益：推动检修模式转型，实现智慧化提质增效</t>
    </r>
    <r>
      <rPr>
        <sz val="11"/>
        <color indexed="8"/>
        <rFont val="等线"/>
        <family val="3"/>
        <charset val="134"/>
      </rPr>
      <t xml:space="preserve">
打破传统周期性被动检修局限，推动运维模式向 “预防性智慧运维” 转型升级，从源头降低故障发生概率。通过智能化预判与精准化处置，减少人工依赖与重复性作业频次，优化运维资源配置，在提升运维作业安全性的同时，实现运维效率与管理水平双重提升。
</t>
    </r>
    <r>
      <rPr>
        <b/>
        <sz val="11"/>
        <color indexed="8"/>
        <rFont val="等线"/>
        <family val="3"/>
        <charset val="134"/>
      </rPr>
      <t>四、设备运行效益：强化系统稳定可靠，降低运营安全风险</t>
    </r>
    <r>
      <rPr>
        <sz val="11"/>
        <color indexed="8"/>
        <rFont val="等线"/>
        <family val="3"/>
        <charset val="134"/>
      </rPr>
      <t xml:space="preserve">
持续保障 ATS 系统健康稳定运行，减少因系统异常、隐性故障带来的设备性能衰减与运营风险。通过提前干预、精准处置，提升关键信号系统运行可靠性，降低非计划停运及故障发生率，为列车安全、有序、高效运行提供坚实设备保障</t>
    </r>
  </si>
  <si>
    <r>
      <rPr>
        <sz val="11"/>
        <color indexed="8"/>
        <rFont val="等线"/>
        <family val="3"/>
        <charset val="134"/>
      </rPr>
      <t xml:space="preserve">通过8号线BTM安装改造解决以下问题：
1）消除BTM天线固定螺栓磨损断裂隐患。当前 BTM 天线安装结构易出现固定螺栓磨损严重、疲劳断裂等问题，且振动幅值越大，对紧固件的损伤越明显，存在天线脱落、设备运行异常等安全风险；
2、降低耗材消耗成本。频繁的螺栓磨损更换，大大增大了耗材成本。
3、降低维护压力，缩减不必要的作业时间。当前的安装结构，无法直观的从外观查看磨损情况，需班组结合修程不定期进行拆检，存在拆检不到位漏检及拆检过度螺栓紧固性差的隐患，增大了班组维护压力的同时增多了额外的作业时间。
</t>
    </r>
  </si>
  <si>
    <r>
      <rPr>
        <sz val="11"/>
        <rFont val="宋体"/>
        <family val="3"/>
        <charset val="134"/>
      </rPr>
      <t xml:space="preserve">为从根源上解决BTM天线螺栓模式断裂痛点问题，保障设备安全稳定运行，特开展以下技术优化工作：
</t>
    </r>
    <r>
      <rPr>
        <b/>
        <sz val="11"/>
        <color indexed="8"/>
        <rFont val="等线"/>
        <family val="3"/>
        <charset val="134"/>
      </rPr>
      <t>1.全线路调研摸排，开展差异性对比分析。</t>
    </r>
    <r>
      <rPr>
        <sz val="11"/>
        <color indexed="8"/>
        <rFont val="等线"/>
        <family val="3"/>
        <charset val="134"/>
      </rPr>
      <t xml:space="preserve">对青岛地铁各线路 BTM 天线安装形式、固定结构及使用工况进行全面调研分析，系统梳理不同线路安装特点、结构差异及运维情况，为8号线BTM天线的安装改造提供思路。
</t>
    </r>
    <r>
      <rPr>
        <b/>
        <sz val="11"/>
        <color indexed="8"/>
        <rFont val="等线"/>
        <family val="3"/>
        <charset val="134"/>
      </rPr>
      <t>2.专项受力校核，完成8号线技术评估。</t>
    </r>
    <r>
      <rPr>
        <sz val="11"/>
        <color indexed="8"/>
        <rFont val="等线"/>
        <family val="3"/>
        <charset val="134"/>
      </rPr>
      <t xml:space="preserve">针对 8 号线 BTM 天线本体及安装紧固件进行材质特性、受力状态专项分析，评估刚性安装模式下振动冲击对设备的影响，形成完整技术评估报告。
</t>
    </r>
    <r>
      <rPr>
        <b/>
        <sz val="11"/>
        <color indexed="8"/>
        <rFont val="等线"/>
        <family val="3"/>
        <charset val="134"/>
      </rPr>
      <t>3.优化结构设计，制定免维护安装方案。</t>
    </r>
    <r>
      <rPr>
        <sz val="11"/>
        <color indexed="8"/>
        <rFont val="等线"/>
        <family val="3"/>
        <charset val="134"/>
      </rPr>
      <t xml:space="preserve">开展专题技术研讨，结合BTM天线本体材质特性，受力情况优化设计新型安装结构，研究并采用高可靠、抗振动、长寿命的免维护安装方案，从根本上消除螺栓磨损及断裂隐患，大幅减少定期更换作业量，降低运维耗材成本与人工投入，全面提升设备长期运行稳定性与可靠性。
</t>
    </r>
    <r>
      <rPr>
        <b/>
        <sz val="11"/>
        <color indexed="8"/>
        <rFont val="等线"/>
        <family val="3"/>
        <charset val="134"/>
      </rPr>
      <t>4、装车测试，推进批量应用。</t>
    </r>
    <r>
      <rPr>
        <sz val="11"/>
        <color indexed="8"/>
        <rFont val="等线"/>
        <family val="3"/>
        <charset val="134"/>
      </rPr>
      <t>对新型安装方式装车测试，持续跟踪并进行数据采集分析，评估其对列车运行的影响，验证方案免维护的可行性；试验达标后，实施后续列车批量安装改造。</t>
    </r>
  </si>
  <si>
    <r>
      <rPr>
        <sz val="11"/>
        <rFont val="宋体"/>
        <family val="3"/>
        <charset val="134"/>
      </rPr>
      <t>1、设计方案创新：</t>
    </r>
    <r>
      <rPr>
        <sz val="11"/>
        <color indexed="8"/>
        <rFont val="等线"/>
        <family val="3"/>
        <charset val="134"/>
      </rPr>
      <t xml:space="preserve">从“被动防松”到“主动抗振”。目前BTM天线采用“弹簧垫圈+螺栓”的柔性固定结构。该结构在持续振动环境下，易导致螺栓磨损、预紧力衰减，进而引发疲劳甚至断裂。新采用刚性一体化结构，使连接部位不产生相对微动，从而从受力角度上主动杜绝了因振动引发的磨损与松动。
</t>
    </r>
    <r>
      <rPr>
        <b/>
        <sz val="11"/>
        <color indexed="8"/>
        <rFont val="等线"/>
        <family val="3"/>
        <charset val="134"/>
      </rPr>
      <t>2.连接结构创新：</t>
    </r>
    <r>
      <rPr>
        <sz val="11"/>
        <color indexed="8"/>
        <rFont val="等线"/>
        <family val="3"/>
        <charset val="134"/>
      </rPr>
      <t xml:space="preserve">从“离散装配”到“整体集成”。目前BTM天线由螺栓、螺母、垫片等10个离散零件组成的可拆卸装配体，界面多，潜在失效点多。新的安装方式采用刚性一体化硬连接设计，将天线与安装底座（专用过渡件）集成为一个稳固的整体，变“多点螺纹紧固”为“面域刚性连接”，彻底取消了螺纹附在主要受力路径上的作用。
</t>
    </r>
    <r>
      <rPr>
        <b/>
        <sz val="11"/>
        <color indexed="8"/>
        <rFont val="等线"/>
        <family val="3"/>
        <charset val="134"/>
      </rPr>
      <t>3.全生命周期成本模式创新</t>
    </r>
    <r>
      <rPr>
        <sz val="11"/>
        <color indexed="8"/>
        <rFont val="等线"/>
        <family val="3"/>
        <charset val="134"/>
      </rPr>
      <t xml:space="preserve">：从“周期性维护”到“本质免维护”。新的安装方式一次性解决了振动导致的磨损情况，实现了全生命周期免维护。这不仅取消了计划性的物料与人工投入，更避免了维护窗口期带来的运营干扰，将成本模式从“长期持续投入”优化为“一次性投资”，大大节省了每年2万元的耗材成本及每月5个多小时的维护成本。
</t>
    </r>
    <r>
      <rPr>
        <b/>
        <sz val="11"/>
        <color indexed="8"/>
        <rFont val="等线"/>
        <family val="3"/>
        <charset val="134"/>
      </rPr>
      <t>4.效能标准创新：</t>
    </r>
    <r>
      <rPr>
        <sz val="11"/>
        <color indexed="8"/>
        <rFont val="等线"/>
        <family val="3"/>
        <charset val="134"/>
      </rPr>
      <t>从“满足功能”到“新可靠性标准”。新的安装方式不仅保证了安装本身的高可靠性，更通过消除螺栓磨损断裂隐患，显著提升了天线长期运行的电气稳定性。</t>
    </r>
  </si>
  <si>
    <r>
      <rPr>
        <sz val="11"/>
        <rFont val="宋体"/>
        <family val="3"/>
        <charset val="134"/>
      </rPr>
      <t xml:space="preserve">本项目针对8号线BTM天线安装结构受列车振动影响、螺栓磨损断裂、运维成本高、安全隐患突出等核心痛点，通过全面调研、专项分析与技术创新，优化设计新型安装结构，全方位提升设备运行可靠性、降低运维成本、消除安全隐患，各项效益效果显著，具体如下：
一、直接效益
</t>
    </r>
    <r>
      <rPr>
        <b/>
        <sz val="11"/>
        <color indexed="8"/>
        <rFont val="等线"/>
        <family val="3"/>
        <charset val="134"/>
      </rPr>
      <t>1、设备安全可靠性提升：</t>
    </r>
    <r>
      <rPr>
        <sz val="11"/>
        <color indexed="8"/>
        <rFont val="等线"/>
        <family val="3"/>
        <charset val="134"/>
      </rPr>
      <t xml:space="preserve">从根源上解决列车长期振动引发的螺栓严重磨损、疲劳断裂等问题，彻底消除天线脱落、设备运行异常等安全风险，显著提升BTM天线安装的稳定性、抗振动性与耐久性，延长设备整体使用寿命，减少设备故障发生率，也杜绝了因设备故障引发的行车安全隐患，全力保障线路运营安全、乘客出行平安，保障信号系统稳定运行，为线路高效运营提供坚实支撑。
</t>
    </r>
    <r>
      <rPr>
        <b/>
        <sz val="11"/>
        <color indexed="8"/>
        <rFont val="等线"/>
        <family val="3"/>
        <charset val="134"/>
      </rPr>
      <t>2、成本降低：</t>
    </r>
    <r>
      <rPr>
        <sz val="11"/>
        <color indexed="8"/>
        <rFont val="等线"/>
        <family val="3"/>
        <charset val="134"/>
      </rPr>
      <t xml:space="preserve">通过采用高可靠、抗振动、长寿命的免维护安装方案，取消螺栓定期更换作业，大幅减少运维人员巡检、维护及耗材更换工作量，降低人工投入与螺栓耗材成本；同时优化后的安装结构可长期稳定运行，减少设备故障抢修成本，实现运维降本增效。
</t>
    </r>
    <r>
      <rPr>
        <b/>
        <sz val="11"/>
        <color indexed="8"/>
        <rFont val="等线"/>
        <family val="3"/>
        <charset val="134"/>
      </rPr>
      <t>3、运维减负：</t>
    </r>
    <r>
      <rPr>
        <sz val="11"/>
        <color indexed="8"/>
        <rFont val="等线"/>
        <family val="3"/>
        <charset val="134"/>
      </rPr>
      <t xml:space="preserve">简化BTM天线运维流程，摒弃传统安装方式下繁琐的定期检修、螺栓更换作业，降低运维人员操作难度，减少现场运维工作量，缓解运维班组工作压力，提升运维作业效率。
二、间接效益
</t>
    </r>
    <r>
      <rPr>
        <b/>
        <sz val="11"/>
        <color indexed="8"/>
        <rFont val="等线"/>
        <family val="3"/>
        <charset val="134"/>
      </rPr>
      <t>1、积累技术经验：</t>
    </r>
    <r>
      <rPr>
        <sz val="11"/>
        <color indexed="8"/>
        <rFont val="等线"/>
        <family val="3"/>
        <charset val="134"/>
      </rPr>
      <t xml:space="preserve">通过对青岛地铁各线路BTM天线安装形式的全面调研、专项技术分析及与厂家的深度研讨，积累了丰富的安装优化经验、技术数据及测试方法，为后续同类线路BTM天线安装改造提供标准化参考，提升专业团队技术管控水平。
</t>
    </r>
    <r>
      <rPr>
        <b/>
        <sz val="11"/>
        <color indexed="8"/>
        <rFont val="等线"/>
        <family val="3"/>
        <charset val="134"/>
      </rPr>
      <t>2、强化技术储备：</t>
    </r>
    <r>
      <rPr>
        <sz val="11"/>
        <color indexed="8"/>
        <rFont val="等线"/>
        <family val="3"/>
        <charset val="134"/>
      </rPr>
      <t>通过项目实施，培养一批既精通BTM天线结构特性、受力分析，又掌握新型安装工艺的复合型专业人才，提升员工专业素养与技术能力；同时形成一套成熟的BTM天线免维护安装技术方案，为轨道交通信号设备优化升级储备核心技术。</t>
    </r>
  </si>
  <si>
    <r>
      <rPr>
        <sz val="11"/>
        <rFont val="宋体"/>
        <family val="3"/>
        <charset val="134"/>
      </rPr>
      <t>1.连接结构与布局创新：</t>
    </r>
    <r>
      <rPr>
        <sz val="11"/>
        <color indexed="8"/>
        <rFont val="宋体"/>
        <family val="3"/>
        <charset val="134"/>
      </rPr>
      <t xml:space="preserve">采用万可端子排过渡转接与灯、钮分离布局；室外电缆接入端子排承载机械应力，消除振动、弯折引发的安全隐患；为灯、钮设计独立回路，杜绝故障连带影响，提升运行可靠性。
</t>
    </r>
    <r>
      <rPr>
        <b/>
        <sz val="11"/>
        <color indexed="8"/>
        <rFont val="宋体"/>
        <family val="3"/>
        <charset val="134"/>
      </rPr>
      <t>2.运维便捷性创新：</t>
    </r>
    <r>
      <rPr>
        <sz val="11"/>
        <color indexed="8"/>
        <rFont val="宋体"/>
        <family val="3"/>
        <charset val="134"/>
      </rPr>
      <t xml:space="preserve">通过多股软线实现端子排与按钮、指示灯的独立连接，既构建振动缓冲结构、削弱振动冲击，又打造标准化维护接口，支持单一部件单独快速更换，打破“一坏全换”困境，提升运维效率、降低维修成本。
</t>
    </r>
    <r>
      <rPr>
        <b/>
        <sz val="11"/>
        <color indexed="8"/>
        <rFont val="宋体"/>
        <family val="3"/>
        <charset val="134"/>
      </rPr>
      <t>3.防护设计适配创新：</t>
    </r>
    <r>
      <rPr>
        <sz val="11"/>
        <color indexed="8"/>
        <rFont val="宋体"/>
        <family val="3"/>
        <charset val="134"/>
      </rPr>
      <t>针对灯钮分离布局，优化防护与密封设计，增设专用防护装置、改进密封结构，适配恶劣现场环境，解决设备易受侵蚀的行业痛点，实现设备的“一尘不染”，确保设备性能稳定。</t>
    </r>
  </si>
  <si>
    <r>
      <rPr>
        <sz val="11"/>
        <rFont val="宋体"/>
        <family val="3"/>
        <charset val="134"/>
      </rPr>
      <t xml:space="preserve">本项目对3号线紧急停车按钮进行连接结构优化，彻底解决了接线隐患与运维低效问题，显著提升运营安全与服务质量。主要效益如下：
一、直接效益
</t>
    </r>
    <r>
      <rPr>
        <b/>
        <sz val="11"/>
        <color indexed="8"/>
        <rFont val="等线"/>
        <family val="3"/>
        <charset val="134"/>
      </rPr>
      <t>应急处置效率大幅提速：</t>
    </r>
    <r>
      <rPr>
        <sz val="11"/>
        <color indexed="8"/>
        <rFont val="等线"/>
        <family val="3"/>
        <charset val="134"/>
      </rPr>
      <t xml:space="preserve">采用万可端子排转接与灯钮分离布局，实现应力缓冲与快速维护。故障时可独立更换按钮或指示灯，处置时间从5分钟缩短至2分钟内，确保应急操作精准有效。
</t>
    </r>
    <r>
      <rPr>
        <b/>
        <sz val="11"/>
        <color indexed="8"/>
        <rFont val="等线"/>
        <family val="3"/>
        <charset val="134"/>
      </rPr>
      <t>设备可靠性全面提升：</t>
    </r>
    <r>
      <rPr>
        <sz val="11"/>
        <color indexed="8"/>
        <rFont val="等线"/>
        <family val="3"/>
        <charset val="134"/>
      </rPr>
      <t xml:space="preserve">端子排吸收机械应力，避免导线疲劳断裂；独立回路与增强防护设计有效抵御潮湿、粉尘等环境影响，降低氧化腐蚀风险，延长设备使用寿命，减少更换频次。
</t>
    </r>
    <r>
      <rPr>
        <b/>
        <sz val="11"/>
        <color indexed="8"/>
        <rFont val="等线"/>
        <family val="3"/>
        <charset val="134"/>
      </rPr>
      <t>运维工作高效减负：</t>
    </r>
    <r>
      <rPr>
        <sz val="11"/>
        <color indexed="8"/>
        <rFont val="等线"/>
        <family val="3"/>
        <charset val="134"/>
      </rPr>
      <t xml:space="preserve">标准化接线与软线连接简化了作业流程，避免二次损伤与操作风险，减少日常巡检工作量，节约人工与材料成本，实现运维提质增效。
二、间接效益
</t>
    </r>
    <r>
      <rPr>
        <b/>
        <sz val="11"/>
        <color indexed="8"/>
        <rFont val="等线"/>
        <family val="3"/>
        <charset val="134"/>
      </rPr>
      <t>提升运营秩序与社会稳定度：</t>
    </r>
    <r>
      <rPr>
        <sz val="11"/>
        <color indexed="8"/>
        <rFont val="等线"/>
        <family val="3"/>
        <charset val="134"/>
      </rPr>
      <t xml:space="preserve">根除了紧急停车回路安全隐患，保障乘客出行安全，增强公众对轨道交通的信任，维护运营秩序与社会稳定。
</t>
    </r>
    <r>
      <rPr>
        <b/>
        <sz val="11"/>
        <color indexed="8"/>
        <rFont val="等线"/>
        <family val="3"/>
        <charset val="134"/>
      </rPr>
      <t>长期安全高效运营奠定基础：</t>
    </r>
    <r>
      <rPr>
        <sz val="11"/>
        <color indexed="8"/>
        <rFont val="等线"/>
        <family val="3"/>
        <charset val="134"/>
      </rPr>
      <t>项目完善了应急保障体系，减少因设备故障导致的运营延误，提升列车准点率，降低维修成本与运营风险，为线路长期安全高效运行提供坚实基础。</t>
    </r>
  </si>
  <si>
    <r>
      <rPr>
        <sz val="11"/>
        <color indexed="8"/>
        <rFont val="宋体"/>
        <family val="3"/>
        <charset val="134"/>
      </rPr>
      <t>通过搭建信号联锁关系全场景智能测试平台，重点解决以下问题：
1.解决现场测试覆盖不全问题，补齐测试短板。传统信号联锁关系测试，部分项点依赖厂家后台实验室进行，现场无法进行全面测试，测试质量存在不足。
2.降低现场施工与测试风险。现场进行高频次测试施工作业，不仅存在行车安全隐患、设备损坏风险，同时安全管控压力骤增。
3.缓解现场测试工期压力。8号线北段信号联锁系统PMI G3平台升级改造项目，现场测试工程量大，急需破解工期紧张的核心难题，确保项目按期推进、顺利竣工。
4.节约人力工时成本。夜间测试作业需要大量人员加班及现场值守，人力投入成本较大。</t>
    </r>
  </si>
  <si>
    <r>
      <rPr>
        <sz val="11"/>
        <rFont val="宋体"/>
        <family val="3"/>
        <charset val="134"/>
      </rPr>
      <t xml:space="preserve">为解决信号联锁关系现场测试覆盖不全、工程量大、施工风险高等痛点，依托既有设备资源，创新搭建业内首个现场“实验室级”联锁关系全场景智能测试平台。该平台实现全联锁测试场景仿真验证，推动信号系统改造向数字化、可预测、高效率方向演进。
</t>
    </r>
    <r>
      <rPr>
        <b/>
        <sz val="11"/>
        <color indexed="8"/>
        <rFont val="宋体"/>
        <family val="3"/>
        <charset val="134"/>
      </rPr>
      <t>1.联锁关系测试全覆盖。</t>
    </r>
    <r>
      <rPr>
        <sz val="11"/>
        <color indexed="8"/>
        <rFont val="宋体"/>
        <family val="3"/>
        <charset val="134"/>
      </rPr>
      <t xml:space="preserve">通过搭建测试平台，实现厂家后台实验转移至现场测试开展，深度融合现场真实运行场景与实验室仿真环境，实现联锁关系全覆盖模拟与验证，提升测试覆盖度与可靠性。
</t>
    </r>
    <r>
      <rPr>
        <b/>
        <sz val="11"/>
        <color indexed="8"/>
        <rFont val="宋体"/>
        <family val="3"/>
        <charset val="134"/>
      </rPr>
      <t>2.推进测试效能提升。</t>
    </r>
    <r>
      <rPr>
        <sz val="11"/>
        <color indexed="8"/>
        <rFont val="宋体"/>
        <family val="3"/>
        <charset val="134"/>
      </rPr>
      <t xml:space="preserve">在8号线北段信号联锁系统PMI G3平台升级改造项目中，依托测试平台创新测试模式，推行现场动调与平台测试“双同步”并行机制，有效降低现场施工与测试风险，大幅压缩测试工期，同时减少人力投入成本。
</t>
    </r>
    <r>
      <rPr>
        <b/>
        <sz val="11"/>
        <color indexed="8"/>
        <rFont val="宋体"/>
        <family val="3"/>
        <charset val="134"/>
      </rPr>
      <t>3.测试过程深度参与。</t>
    </r>
    <r>
      <rPr>
        <sz val="11"/>
        <color indexed="8"/>
        <rFont val="宋体"/>
        <family val="3"/>
        <charset val="134"/>
      </rPr>
      <t>测试平台的应用改变以往厂家后台单独开展实验的模式，让员工可全程参与测试，精准把控测试质量，提升测试结果的可靠性。</t>
    </r>
  </si>
  <si>
    <r>
      <rPr>
        <sz val="11"/>
        <rFont val="宋体"/>
        <family val="3"/>
        <charset val="134"/>
      </rPr>
      <t>1.平台定位创新：</t>
    </r>
    <r>
      <rPr>
        <sz val="11"/>
        <color indexed="8"/>
        <rFont val="宋体"/>
        <family val="3"/>
        <charset val="134"/>
      </rPr>
      <t xml:space="preserve">突破传统测试局限，创新搭建业内首个现场“实验室级”信号联锁关系全场景智能测试平台，实现“厂家后台实验”向“运营现场测试”的升级，员工全程深度参与把控测试过程，提升测试质量与可靠性。
</t>
    </r>
    <r>
      <rPr>
        <b/>
        <sz val="11"/>
        <color indexed="8"/>
        <rFont val="宋体"/>
        <family val="3"/>
        <charset val="134"/>
      </rPr>
      <t>2.测试能力创新：</t>
    </r>
    <r>
      <rPr>
        <sz val="11"/>
        <color indexed="8"/>
        <rFont val="宋体"/>
        <family val="3"/>
        <charset val="134"/>
      </rPr>
      <t xml:space="preserve">平台可精准复刻线路设备运行状态，具备上千条联锁逻辑的全覆盖测试能力，彻底解决现场测试覆盖不全、验证不充分的痛点，大幅提升测试的完整性与精准度。
</t>
    </r>
    <r>
      <rPr>
        <b/>
        <sz val="11"/>
        <color indexed="8"/>
        <rFont val="宋体"/>
        <family val="3"/>
        <charset val="134"/>
      </rPr>
      <t>3.测试模式创新：</t>
    </r>
    <r>
      <rPr>
        <sz val="11"/>
        <color indexed="8"/>
        <rFont val="宋体"/>
        <family val="3"/>
        <charset val="134"/>
      </rPr>
      <t>打破传统单一人工现场测试模式，创新采用现场动调与平台测试“双同步”并行模式，大幅提升了联锁测试效率，有效解决现场测试易遗漏、周期长、风险高的难题。</t>
    </r>
  </si>
  <si>
    <r>
      <rPr>
        <sz val="11"/>
        <rFont val="宋体"/>
        <family val="3"/>
        <charset val="134"/>
      </rPr>
      <t xml:space="preserve">本项目针对信号联锁关系现场测试覆盖不足、工程量大、施工风险高等痛点，搭建现场信号联锁关系全场景智能测试平台，通过测试流程创新，全面提升测试可靠性与测试效率，有效降低安全风险和成本投入，助力8号线北段信号联锁系统PMI G3平台升级改造项目稳步推进，各项效益效果显著，具体如下：
一、直接效益
</t>
    </r>
    <r>
      <rPr>
        <b/>
        <sz val="11"/>
        <color indexed="8"/>
        <rFont val="等线"/>
        <family val="3"/>
        <charset val="134"/>
      </rPr>
      <t>1.测试可靠度提升：</t>
    </r>
    <r>
      <rPr>
        <sz val="11"/>
        <color indexed="8"/>
        <rFont val="等线"/>
        <family val="3"/>
        <charset val="134"/>
      </rPr>
      <t xml:space="preserve">平台实现全场景、全方位仿真测试，员工深度参与测试过程，精准排查信号联锁逻辑漏洞及潜在问题，从源头提升测试质量，保障信号系统安全稳定运行，减少后期运营隐患。
</t>
    </r>
    <r>
      <rPr>
        <b/>
        <sz val="11"/>
        <color indexed="8"/>
        <rFont val="等线"/>
        <family val="3"/>
        <charset val="134"/>
      </rPr>
      <t>2.施工风险降低：</t>
    </r>
    <r>
      <rPr>
        <sz val="11"/>
        <color indexed="8"/>
        <rFont val="等线"/>
        <family val="3"/>
        <charset val="134"/>
      </rPr>
      <t xml:space="preserve">可大幅减少现场测试作业量，规避行车安全隐患、设备损坏等风险，降低现场作业的安全管控压力，保障人员、设备及行车安全。
</t>
    </r>
    <r>
      <rPr>
        <b/>
        <sz val="11"/>
        <color indexed="8"/>
        <rFont val="等线"/>
        <family val="3"/>
        <charset val="134"/>
      </rPr>
      <t>3.测试效率提升：</t>
    </r>
    <r>
      <rPr>
        <sz val="11"/>
        <color indexed="8"/>
        <rFont val="等线"/>
        <family val="3"/>
        <charset val="134"/>
      </rPr>
      <t xml:space="preserve">采用现场动调与平台仿真“双同步”模式，显著缩减现场测试周期，整体测试效率提升30%，有效破解工期紧张难题，确保改造项目按期竣工。
</t>
    </r>
    <r>
      <rPr>
        <b/>
        <sz val="11"/>
        <color indexed="8"/>
        <rFont val="等线"/>
        <family val="3"/>
        <charset val="134"/>
      </rPr>
      <t>4.人力成本降低：</t>
    </r>
    <r>
      <rPr>
        <sz val="11"/>
        <color indexed="8"/>
        <rFont val="等线"/>
        <family val="3"/>
        <charset val="134"/>
      </rPr>
      <t xml:space="preserve">优化测试作业模式，减少夜间测试次数，有效降低人员加班、现场值守等施工投入，同时平台可复用推广，大幅降低后续同类项目的设备与人力投入，实现长效降本增效。
二、间接效益
</t>
    </r>
    <r>
      <rPr>
        <b/>
        <sz val="11"/>
        <color indexed="8"/>
        <rFont val="等线"/>
        <family val="3"/>
        <charset val="134"/>
      </rPr>
      <t>1.积累测试经验：</t>
    </r>
    <r>
      <rPr>
        <sz val="11"/>
        <color indexed="8"/>
        <rFont val="等线"/>
        <family val="3"/>
        <charset val="134"/>
      </rPr>
      <t xml:space="preserve">通过平台的应用积累，完善各类测试用例、故障处置方法及优化经验，形成可复制、可推广的标准体系，有效提升团队专业测试能力与项目管控水平。
</t>
    </r>
    <r>
      <rPr>
        <b/>
        <sz val="11"/>
        <color indexed="8"/>
        <rFont val="等线"/>
        <family val="3"/>
        <charset val="134"/>
      </rPr>
      <t>2.培养复合型人才：</t>
    </r>
    <r>
      <rPr>
        <sz val="11"/>
        <color indexed="8"/>
        <rFont val="等线"/>
        <family val="3"/>
        <charset val="134"/>
      </rPr>
      <t>依托测试平台实操锻炼，打造一批精通信号联锁逻辑、掌握仿真测试技能的复合型人才队伍，提升员工综合素养，为轨道交通信号系统运维与改造储备核心人才。</t>
    </r>
  </si>
  <si>
    <r>
      <rPr>
        <sz val="11"/>
        <rFont val="宋体"/>
        <family val="3"/>
        <charset val="134"/>
      </rPr>
      <t>1.构建牵引能耗分析模型：</t>
    </r>
    <r>
      <rPr>
        <sz val="11"/>
        <color indexed="8"/>
        <rFont val="等线"/>
        <family val="3"/>
        <charset val="134"/>
      </rPr>
      <t xml:space="preserve"> 深度剖析线路运行因素对牵引能耗的影响，精准定位信号系统中控制列车运行轨迹与牵引力分配的核心参数。
</t>
    </r>
    <r>
      <rPr>
        <b/>
        <sz val="11"/>
        <color indexed="8"/>
        <rFont val="等线"/>
        <family val="3"/>
        <charset val="134"/>
      </rPr>
      <t>2.开展运行图参数寻优与动态调控：</t>
    </r>
    <r>
      <rPr>
        <sz val="11"/>
        <color indexed="8"/>
        <rFont val="等线"/>
        <family val="3"/>
        <charset val="134"/>
      </rPr>
      <t xml:space="preserve"> 基于理论模型与实测数据，对信号系统牵引与制动参数进行调优；在保障既有运行交路及准点率的前提下，优化列车运行曲线，实现牵引能耗的下降。</t>
    </r>
  </si>
  <si>
    <r>
      <rPr>
        <sz val="11"/>
        <rFont val="宋体"/>
        <family val="3"/>
        <charset val="134"/>
      </rPr>
      <t>1.直接削减碳排放，助力“双碳”目标落地：</t>
    </r>
    <r>
      <rPr>
        <sz val="11"/>
        <color indexed="8"/>
        <rFont val="宋体"/>
        <family val="3"/>
        <charset val="134"/>
      </rPr>
      <t xml:space="preserve"> 有效压降3号线电客车牵引耗电量，减少天然气、煤炭等化石能源的间接消耗，以实实在在的减排量响应国家“碳达峰、碳中和”战略，提升轨道交通绿色底色；
</t>
    </r>
    <r>
      <rPr>
        <b/>
        <sz val="11"/>
        <color indexed="8"/>
        <rFont val="宋体"/>
        <family val="3"/>
        <charset val="134"/>
      </rPr>
      <t>2.沉淀可复用技术成果，发挥行业示范效应：</t>
    </r>
    <r>
      <rPr>
        <sz val="11"/>
        <color indexed="8"/>
        <rFont val="宋体"/>
        <family val="3"/>
        <charset val="134"/>
      </rPr>
      <t xml:space="preserve"> 项目探索出的“信号参数调优降耗”机制，可为线网内其他线路乃至其他城市的地铁节能提供可复制、可推广的成功样本，具有较强的行业借鉴与引领价值。</t>
    </r>
  </si>
  <si>
    <r>
      <rPr>
        <sz val="11"/>
        <rFont val="宋体"/>
        <family val="3"/>
        <charset val="134"/>
      </rPr>
      <t xml:space="preserve">1.现有监测系统功能缺失，运维模式被动滞后：地铁专用电源系统广泛采用阀控铅酸蓄电池作为应急后备电源的核心储能单元，其健康状态直接关系到地铁运营的安全与连续性。然而，现有监测系统仅能查看蓄电池的实时运行数据，缺乏数据记录与智能分析功能，无法对电池劣化过程进行早期识别与精准预警，运维模式仍依赖“到期整组更换”或故障发生后的被动处置。
</t>
    </r>
    <r>
      <rPr>
        <b/>
        <sz val="11"/>
        <rFont val="宋体"/>
        <family val="3"/>
        <charset val="134"/>
      </rPr>
      <t>2.特殊工况下传统方法难以捕捉失效趋势：</t>
    </r>
    <r>
      <rPr>
        <sz val="11"/>
        <rFont val="宋体"/>
        <family val="3"/>
        <charset val="134"/>
      </rPr>
      <t xml:space="preserve">地铁蓄电池长期处于“浮充备用、偶发放电”的特殊工况，性能退化过程缓慢、特征信号微弱，传统基于经验阈值或简单统计的监测方法难以有效捕捉其缓慢演化的失效趋势，无法实现故障的早期发现。
</t>
    </r>
    <r>
      <rPr>
        <b/>
        <sz val="11"/>
        <rFont val="宋体"/>
        <family val="3"/>
        <charset val="134"/>
      </rPr>
      <t>3.现有模型场景适配不足，工程落地难：</t>
    </r>
    <r>
      <rPr>
        <sz val="11"/>
        <rFont val="宋体"/>
        <family val="3"/>
        <charset val="134"/>
      </rPr>
      <t>现有数据驱动模型多面向数据中心或变电站场景，对地铁工况适配性不足，且往往依赖高维特征输入，难以与既有在线监测系统实现低成本对接。因此，亟需构建一套集数据采集、存储记录与智能分析于一体的蓄电池故障预警系统，实现从“事后处置”向“事前预警”的智能化转变。</t>
    </r>
  </si>
  <si>
    <r>
      <rPr>
        <sz val="11"/>
        <rFont val="宋体"/>
        <family val="3"/>
        <charset val="134"/>
      </rPr>
      <t xml:space="preserve">1.构建适配地铁场景的数据驱动预测模型：本项目围绕地铁VRLA蓄电池的故障预警需求，提出一种基于长短期记忆网络（LSTM）的时序预测模型，以可稳定在线采集的端电压与内阻作为核心输入特征，构建“数据驱动+物理约束+相位修正”的多步预测框架。项目首先针对地铁蓄电池“长期浮充、偶发放电”的运行特性，开展工况分析与特征筛选，确保模型输入与现场监测设备能力高度匹配，实现低成本、低门槛的工程化部署。
</t>
    </r>
    <r>
      <rPr>
        <b/>
        <sz val="11"/>
        <rFont val="宋体"/>
        <family val="3"/>
        <charset val="134"/>
      </rPr>
      <t>2.融合小样本学习与序列修正的创新策略：</t>
    </r>
    <r>
      <rPr>
        <sz val="11"/>
        <rFont val="宋体"/>
        <family val="3"/>
        <charset val="134"/>
      </rPr>
      <t xml:space="preserve">为提升模型在小样本场景下的泛化能力，项目引入迁移学习策略，利用多节电池的共性劣化特征进行预训练，再通过少量目标电池数据进行个性化微调，有效解决过拟合问题。同时，创新性地将动态时间规整（DTW）技术集成至预测修正流程，实现预测曲线与真实劣化节奏的精准同步，显著提升时序预测的对齐精度。
</t>
    </r>
    <r>
      <rPr>
        <b/>
        <sz val="11"/>
        <rFont val="宋体"/>
        <family val="3"/>
        <charset val="134"/>
      </rPr>
      <t>3.嵌入物理规约实现可操作的预警输出：</t>
    </r>
    <r>
      <rPr>
        <sz val="11"/>
        <rFont val="宋体"/>
        <family val="3"/>
        <charset val="134"/>
      </rPr>
      <t>在多步预测中嵌入基于历史劣化斜率的物理规约，确保预测结果符合电池性能缓慢衰减的客观规律，避免不合理波动。模型可输出内阻等多参数在设定阈值下的劣化趋势，精准预判电池达到预警阈值的时间节点，为运维人员提供明确、可操作的处置窗口期，实现从“被动处置”到“主动预警”的智能化转变。</t>
    </r>
  </si>
  <si>
    <r>
      <rPr>
        <sz val="11"/>
        <rFont val="宋体"/>
        <family val="3"/>
        <charset val="134"/>
      </rPr>
      <t xml:space="preserve">1.线网首创、场景适配性强：聚焦地铁VRLA蓄电池“长期浮充、偶发放电”的特殊工况，筛选电压与内阻两类可稳定获取的参数作为模型输入，与既有在线监测系统高度兼容，避免了高维特征依赖带来的工程落地障碍。
</t>
    </r>
    <r>
      <rPr>
        <b/>
        <sz val="11"/>
        <rFont val="宋体"/>
        <family val="3"/>
        <charset val="134"/>
      </rPr>
      <t>2.小样本学习与泛化能力协同优化：</t>
    </r>
    <r>
      <rPr>
        <sz val="11"/>
        <rFont val="宋体"/>
        <family val="3"/>
        <charset val="134"/>
      </rPr>
      <t xml:space="preserve">构建“预训练+微调”的迁移学习框架，实现从群体共性到个体特性的高效过渡，显著提升小样本场景下的模型泛化能力与预测稳定性。
</t>
    </r>
    <r>
      <rPr>
        <b/>
        <sz val="11"/>
        <rFont val="宋体"/>
        <family val="3"/>
        <charset val="134"/>
      </rPr>
      <t>3.时序预测精度与物理一致性双提升：</t>
    </r>
    <r>
      <rPr>
        <sz val="11"/>
        <rFont val="宋体"/>
        <family val="3"/>
        <charset val="134"/>
      </rPr>
      <t xml:space="preserve">首次将动态时间规整（DTW）引入预测序列的相位修正，解决预测滞后问题；同时嵌入基于劣化斜率的物理规约，使多步预测结果在统计学合理的同时，严格遵循电池老化的物理规律，规避不合理波动。
</t>
    </r>
    <r>
      <rPr>
        <b/>
        <sz val="11"/>
        <rFont val="宋体"/>
        <family val="3"/>
        <charset val="134"/>
      </rPr>
      <t>4.工程化预警机制完备：</t>
    </r>
    <r>
      <rPr>
        <sz val="11"/>
        <rFont val="宋体"/>
        <family val="3"/>
        <charset val="134"/>
      </rPr>
      <t>基于多步预测结果与分级阈值，实现电池劣化趋势的前瞻性判断，可精准预判达到预警阈值的时间节点，形成“趋势预测—阈值匹配—时间预判—运维干预”的闭环管理流程。</t>
    </r>
  </si>
  <si>
    <r>
      <rPr>
        <sz val="11"/>
        <rFont val="宋体"/>
        <family val="3"/>
        <charset val="134"/>
      </rPr>
      <t xml:space="preserve">本项目围绕消防无线系统传输链路开展架构优化，重点完成以下技术内容：
</t>
    </r>
    <r>
      <rPr>
        <b/>
        <sz val="11"/>
        <rFont val="宋体"/>
        <family val="3"/>
        <charset val="134"/>
      </rPr>
      <t>1.业务承载方式升级：</t>
    </r>
    <r>
      <rPr>
        <sz val="11"/>
        <rFont val="宋体"/>
        <family val="3"/>
        <charset val="134"/>
      </rPr>
      <t xml:space="preserve">将原有依托2M电路的消防无线业务，统一迁移至以太网传输通道，实现从TDM（时分复用）架构向分组交换架构的技术转型；
</t>
    </r>
    <r>
      <rPr>
        <b/>
        <sz val="11"/>
        <rFont val="宋体"/>
        <family val="3"/>
        <charset val="134"/>
      </rPr>
      <t>3.环网业务类型整合：</t>
    </r>
    <r>
      <rPr>
        <sz val="11"/>
        <rFont val="宋体"/>
        <family val="3"/>
        <charset val="134"/>
      </rPr>
      <t xml:space="preserve">对现有传输环网中的业务类型进行梳理与优化，提升环网带宽利用效率；
</t>
    </r>
    <r>
      <rPr>
        <b/>
        <sz val="11"/>
        <rFont val="宋体"/>
        <family val="3"/>
        <charset val="134"/>
      </rPr>
      <t>4.设备精简与下电：</t>
    </r>
    <r>
      <rPr>
        <sz val="11"/>
        <rFont val="宋体"/>
        <family val="3"/>
        <charset val="134"/>
      </rPr>
      <t xml:space="preserve">在业务平滑迁移基础上，停用并退网原用于2M业务的S385F-13设备，完成业务割接与设备安全下电；
</t>
    </r>
    <r>
      <rPr>
        <b/>
        <sz val="11"/>
        <rFont val="宋体"/>
        <family val="3"/>
        <charset val="134"/>
      </rPr>
      <t>5.运维能力提升：</t>
    </r>
    <r>
      <rPr>
        <sz val="11"/>
        <rFont val="宋体"/>
        <family val="3"/>
        <charset val="134"/>
      </rPr>
      <t>优化后的传输架构简化了故障定位路径，提升专用传输系统在面对异常时的处置效率与响应速度。</t>
    </r>
  </si>
  <si>
    <r>
      <rPr>
        <sz val="11"/>
        <rFont val="宋体"/>
        <family val="3"/>
        <charset val="134"/>
      </rPr>
      <t xml:space="preserve">业务承载方式的协议层跃迁：通过将2M电路业务整体迁移至以太网接口，实现从传统时分复用向分组交换的技术跨越，提升了系统对宽带业务的适配能力；
</t>
    </r>
    <r>
      <rPr>
        <b/>
        <sz val="11"/>
        <rFont val="宋体"/>
        <family val="3"/>
        <charset val="134"/>
      </rPr>
      <t>环网业务类型的融合优化：</t>
    </r>
    <r>
      <rPr>
        <sz val="11"/>
        <rFont val="宋体"/>
        <family val="3"/>
        <charset val="134"/>
      </rPr>
      <t xml:space="preserve">突破原有“业务类型绑定设备”的固化模式，通过环网逻辑重构实现多类型业务共网承载，减少专用设备占用；
</t>
    </r>
    <r>
      <rPr>
        <b/>
        <sz val="11"/>
        <rFont val="宋体"/>
        <family val="3"/>
        <charset val="134"/>
      </rPr>
      <t>“业务-设备-能耗”协同优化方法：</t>
    </r>
    <r>
      <rPr>
        <sz val="11"/>
        <rFont val="宋体"/>
        <family val="3"/>
        <charset val="134"/>
      </rPr>
      <t xml:space="preserve">在不影响业务连续性的前提下，实现设备精简、能耗压降与系统可靠性提升的协同目标，形成可复制、可推广的传输系统精简改造模式；
</t>
    </r>
    <r>
      <rPr>
        <b/>
        <sz val="11"/>
        <rFont val="宋体"/>
        <family val="3"/>
        <charset val="134"/>
      </rPr>
      <t>隐性资产盘活：</t>
    </r>
    <r>
      <rPr>
        <sz val="11"/>
        <rFont val="宋体"/>
        <family val="3"/>
        <charset val="134"/>
      </rPr>
      <t>将价值32.33万元的专用设备退出在线运行，释放机房空间与运维资源，提升存量资产使用效益。</t>
    </r>
  </si>
  <si>
    <r>
      <rPr>
        <sz val="11"/>
        <rFont val="宋体"/>
        <family val="3"/>
        <charset val="134"/>
      </rPr>
      <t xml:space="preserve">设备资产价值释放：停用S385F-13设备及板卡一套，原值32.33万元，可转为备件或统一处置，降低设备重复采购需求；
</t>
    </r>
    <r>
      <rPr>
        <b/>
        <sz val="11"/>
        <rFont val="宋体"/>
        <family val="3"/>
        <charset val="134"/>
      </rPr>
      <t>年度节电效益：</t>
    </r>
    <r>
      <rPr>
        <sz val="11"/>
        <rFont val="宋体"/>
        <family val="3"/>
        <charset val="134"/>
      </rPr>
      <t xml:space="preserve">设备运行功耗1236W，年节电约1.08万度；
</t>
    </r>
    <r>
      <rPr>
        <b/>
        <sz val="11"/>
        <rFont val="宋体"/>
        <family val="3"/>
        <charset val="134"/>
      </rPr>
      <t>运维成本压降：</t>
    </r>
    <r>
      <rPr>
        <sz val="11"/>
        <rFont val="宋体"/>
        <family val="3"/>
        <charset val="134"/>
      </rPr>
      <t>减少在网设备数量，降低故障处理频次、备件储备及日常巡检工作量，预计年节省运维人力与备件成本约1.5万元。</t>
    </r>
  </si>
  <si>
    <r>
      <rPr>
        <sz val="11"/>
        <rFont val="宋体"/>
        <family val="3"/>
        <charset val="134"/>
      </rPr>
      <t xml:space="preserve">生态效益：年节电1.08万度，折算减少二氧化碳排放约8.5吨，符合绿色低碳、节能降耗的发展导向；
</t>
    </r>
    <r>
      <rPr>
        <b/>
        <sz val="11"/>
        <rFont val="宋体"/>
        <family val="3"/>
        <charset val="134"/>
      </rPr>
      <t>社会效益：</t>
    </r>
    <r>
      <rPr>
        <sz val="11"/>
        <rFont val="宋体"/>
        <family val="3"/>
        <charset val="134"/>
      </rPr>
      <t xml:space="preserve">优化后的消防无线传输系统结构更简洁、故障节点更少，提升了轨道交通专用通信系统的运行可靠性，增强公共安全保障能力；
</t>
    </r>
    <r>
      <rPr>
        <b/>
        <sz val="11"/>
        <rFont val="宋体"/>
        <family val="3"/>
        <charset val="134"/>
      </rPr>
      <t>示范推广价值：</t>
    </r>
    <r>
      <rPr>
        <sz val="11"/>
        <rFont val="宋体"/>
        <family val="3"/>
        <charset val="134"/>
      </rPr>
      <t xml:space="preserve">项目形成了一套“业务升级—设备精简—能效提升”的传输系统优化路径，可为其他仍沿用传统2M承载方式的专用通信系统提供可复制、可推广的技术范例。
</t>
    </r>
  </si>
  <si>
    <r>
      <rPr>
        <sz val="11"/>
        <rFont val="宋体"/>
        <family val="3"/>
        <charset val="134"/>
      </rPr>
      <t xml:space="preserve">本项目构建了“感、传、知、用”一体化的智能运维解决方案：
</t>
    </r>
    <r>
      <rPr>
        <b/>
        <sz val="11"/>
        <color indexed="8"/>
        <rFont val="宋体"/>
        <family val="3"/>
        <charset val="134"/>
      </rPr>
      <t>1.智能感知层（感）</t>
    </r>
    <r>
      <rPr>
        <sz val="11"/>
        <color indexed="8"/>
        <rFont val="宋体"/>
        <family val="3"/>
        <charset val="134"/>
      </rPr>
      <t xml:space="preserve">：基于无人机定点飞行技术，实现隧道及室外场景通信设备自动定点巡航与数据采集，突破空间限制，构建设备全景影像。
</t>
    </r>
    <r>
      <rPr>
        <b/>
        <sz val="11"/>
        <color indexed="8"/>
        <rFont val="宋体"/>
        <family val="3"/>
        <charset val="134"/>
      </rPr>
      <t>2.高速传输层（传）</t>
    </r>
    <r>
      <rPr>
        <sz val="11"/>
        <color indexed="8"/>
        <rFont val="宋体"/>
        <family val="3"/>
        <charset val="134"/>
      </rPr>
      <t xml:space="preserve">：依托5G专网/边缘计算网关，实现采集数据的高速、稳定、低延时回传至云端处理平台，保障诊断结果的实时性。
</t>
    </r>
    <r>
      <rPr>
        <b/>
        <sz val="11"/>
        <color indexed="8"/>
        <rFont val="宋体"/>
        <family val="3"/>
        <charset val="134"/>
      </rPr>
      <t>3.AI认知中枢（知）</t>
    </r>
    <r>
      <rPr>
        <sz val="11"/>
        <color indexed="8"/>
        <rFont val="宋体"/>
        <family val="3"/>
        <charset val="134"/>
      </rPr>
      <t xml:space="preserve">：核心构建了多模态融合AI诊断模型。基于深度学习方法，对线缆卡扣、天线状态等进行智能识别。模型具备增量学习能力，能够在运维过程中持续优化，精准诊断松动、形变等缺陷，并自动生成结构化诊断报告。
</t>
    </r>
    <r>
      <rPr>
        <b/>
        <sz val="11"/>
        <color indexed="8"/>
        <rFont val="宋体"/>
        <family val="3"/>
        <charset val="134"/>
      </rPr>
      <t>4.业务应用层（用）</t>
    </r>
    <r>
      <rPr>
        <sz val="11"/>
        <color indexed="8"/>
        <rFont val="宋体"/>
        <family val="3"/>
        <charset val="134"/>
      </rPr>
      <t>：打造数字运维平台，将诊断结果与设备模型、地理信息精准映射，实现设备健康状况一屏统览、隐患点位精准定位，形成运维闭环管理。</t>
    </r>
  </si>
  <si>
    <r>
      <rPr>
        <sz val="11"/>
        <rFont val="宋体"/>
        <family val="3"/>
        <charset val="134"/>
      </rPr>
      <t xml:space="preserve">本项目构建了一套基于“精准采集、智能分析、实时响应”的智能视频分析系统，其核心流程包含三个环节：
</t>
    </r>
    <r>
      <rPr>
        <b/>
        <sz val="11"/>
        <color indexed="8"/>
        <rFont val="宋体"/>
        <family val="3"/>
        <charset val="134"/>
      </rPr>
      <t>1.视频采集与传输</t>
    </r>
    <r>
      <rPr>
        <sz val="11"/>
        <color indexed="8"/>
        <rFont val="宋体"/>
        <family val="3"/>
        <charset val="134"/>
      </rPr>
      <t xml:space="preserve">：
依托现有CCTV系统，实时采集高清视频流，并通过高效网络传输协议稳定推送至前端智能分析平台。
</t>
    </r>
    <r>
      <rPr>
        <b/>
        <sz val="11"/>
        <color indexed="8"/>
        <rFont val="宋体"/>
        <family val="3"/>
        <charset val="134"/>
      </rPr>
      <t>2.智能识别与分析：</t>
    </r>
    <r>
      <rPr>
        <sz val="11"/>
        <color indexed="8"/>
        <rFont val="宋体"/>
        <family val="3"/>
        <charset val="134"/>
      </rPr>
      <t xml:space="preserve">
前端智能分析平台深度融合YOLO深度学习目标检测算法，实现对动</t>
    </r>
    <r>
      <rPr>
        <b/>
        <sz val="11"/>
        <color indexed="8"/>
        <rFont val="宋体"/>
        <family val="3"/>
        <charset val="134"/>
      </rPr>
      <t>态画面的实时识别与分析。
3.实时报警与响应：</t>
    </r>
    <r>
      <rPr>
        <sz val="11"/>
        <color indexed="8"/>
        <rFont val="宋体"/>
        <family val="3"/>
        <charset val="134"/>
      </rPr>
      <t xml:space="preserve">
当系统识别到特定类别的特殊乘客时，将立即启动音频报警子系统，发出清晰、明确的语音提示，提醒站务人员及时查看。</t>
    </r>
  </si>
  <si>
    <r>
      <rPr>
        <sz val="11"/>
        <rFont val="宋体"/>
        <family val="3"/>
        <charset val="134"/>
      </rPr>
      <t xml:space="preserve">本项目构建了“数据驱动、AI赋能、决策引领”的预测性运维新范式，其核心架构分为四层：
</t>
    </r>
    <r>
      <rPr>
        <b/>
        <sz val="11"/>
        <color indexed="8"/>
        <rFont val="宋体"/>
        <family val="3"/>
        <charset val="134"/>
      </rPr>
      <t>1.全息感知与数据融合层：</t>
    </r>
    <r>
      <rPr>
        <sz val="11"/>
        <color indexed="8"/>
        <rFont val="宋体"/>
        <family val="3"/>
        <charset val="134"/>
      </rPr>
      <t xml:space="preserve">打通并集成PIS系统各子元件的多源异构数据，包括设备履历、故障信息、历史工单、环境数据等，构建完整的设备健康状态画像。
</t>
    </r>
    <r>
      <rPr>
        <b/>
        <sz val="11"/>
        <color indexed="8"/>
        <rFont val="宋体"/>
        <family val="3"/>
        <charset val="134"/>
      </rPr>
      <t>2.智能诊断与预测层：</t>
    </r>
    <r>
      <rPr>
        <sz val="11"/>
        <color indexed="8"/>
        <rFont val="宋体"/>
        <family val="3"/>
        <charset val="134"/>
      </rPr>
      <t xml:space="preserve">利用算法与深度学习策略深度挖掘数据特征，精准识别性能退化趋势与早期异常。多模态AI预测模型：并非单一模型，而是融合了统计分析、机器学习、深度学习的集成模型，对乘客信息系统关键部件进行剩余有用寿命预测和故障概率计算。
</t>
    </r>
    <r>
      <rPr>
        <b/>
        <sz val="11"/>
        <color indexed="8"/>
        <rFont val="宋体"/>
        <family val="3"/>
        <charset val="134"/>
      </rPr>
      <t>3.决策优化与仿真层：</t>
    </r>
    <r>
      <rPr>
        <sz val="11"/>
        <color indexed="8"/>
        <rFont val="宋体"/>
        <family val="3"/>
        <charset val="134"/>
      </rPr>
      <t xml:space="preserve">基于预测结果和分析结果，在虚拟数字孪生体中进行维修策略仿真推演。利用运筹优化算法，动态生成最优维修方案：包括维修时机建议、备件需求预测，实现从“预测出问题”到“决策如何做”的飞跃。
</t>
    </r>
    <r>
      <rPr>
        <b/>
        <sz val="11"/>
        <color indexed="8"/>
        <rFont val="宋体"/>
        <family val="3"/>
        <charset val="134"/>
      </rPr>
      <t>4.精准执行与反馈闭环层：</t>
    </r>
    <r>
      <rPr>
        <sz val="11"/>
        <color indexed="8"/>
        <rFont val="宋体"/>
        <family val="3"/>
        <charset val="134"/>
      </rPr>
      <t>生成动态数据，通过PC端直达一线维修人员，并提供故障诊断指南、历史案例参考。维修结果数据反向回流至系统，形成自我学习、自我优化的闭环，持续提升模型精准度。</t>
    </r>
  </si>
  <si>
    <r>
      <rPr>
        <sz val="11"/>
        <rFont val="宋体"/>
        <family val="3"/>
        <charset val="134"/>
      </rPr>
      <t xml:space="preserve">本项目构建了“车-地-云”一体化的车载系统健康管理体系，其核心在于：
</t>
    </r>
    <r>
      <rPr>
        <b/>
        <sz val="11"/>
        <color indexed="8"/>
        <rFont val="宋体"/>
        <family val="3"/>
        <charset val="134"/>
      </rPr>
      <t>1.数据实时感知能力：</t>
    </r>
    <r>
      <rPr>
        <sz val="11"/>
        <color indexed="8"/>
        <rFont val="宋体"/>
        <family val="3"/>
        <charset val="134"/>
      </rPr>
      <t xml:space="preserve">突破性利用车地无线传输技术（如5G-DSRC），在车辆运行过程中即可将车载台、PIS等设备的全量日志、性能指标数据实时、低延时地传输至地面中心，彻底打破处置慢的问题。
</t>
    </r>
    <r>
      <rPr>
        <b/>
        <sz val="11"/>
        <color indexed="8"/>
        <rFont val="宋体"/>
        <family val="3"/>
        <charset val="134"/>
      </rPr>
      <t>2.智能诊断能力：</t>
    </r>
    <r>
      <rPr>
        <sz val="11"/>
        <color indexed="8"/>
        <rFont val="宋体"/>
        <family val="3"/>
        <charset val="134"/>
      </rPr>
      <t xml:space="preserve">平台对实时传入的数据流进行即时清洗、归类与特征提取。我们使用智能AI诊断引擎，用于解析非结构化的日志文本，识别错误代码和异常关键字。
</t>
    </r>
    <r>
      <rPr>
        <b/>
        <sz val="11"/>
        <color indexed="8"/>
        <rFont val="宋体"/>
        <family val="3"/>
        <charset val="134"/>
      </rPr>
      <t>3.决策支持与可视化能力：</t>
    </r>
    <r>
      <rPr>
        <sz val="11"/>
        <color indexed="8"/>
        <rFont val="宋体"/>
        <family val="3"/>
        <charset val="134"/>
      </rPr>
      <t xml:space="preserve">系统自动生成诊断报告，精准定位故障，并给出维修建议。
</t>
    </r>
  </si>
  <si>
    <r>
      <rPr>
        <sz val="11"/>
        <rFont val="宋体"/>
        <family val="3"/>
        <charset val="134"/>
      </rPr>
      <t>1.现状与痛点：单线录音系统老化困局</t>
    </r>
    <r>
      <rPr>
        <sz val="11"/>
        <color indexed="8"/>
        <rFont val="宋体"/>
        <family val="3"/>
        <charset val="134"/>
      </rPr>
      <t xml:space="preserve">
随着地铁运营年限持续增长，3号线通信系统录音设备进入老化高发期，主机故障率明显上升，直接影响调度指挥、应急处置等关键语音业务的全程可追溯性。更为严峻的是，原设备型号已全面停产，无替代备件可用。若按传统方式整体更换为新型录音系统，将面临高昂的设备采购成本、配套网管系统重复部署、人员重新培训等一系列问题，资源投入大、实施周期长、运维复杂度显著增加。
</t>
    </r>
    <r>
      <rPr>
        <b/>
        <sz val="11"/>
        <color indexed="8"/>
        <rFont val="宋体"/>
        <family val="3"/>
        <charset val="134"/>
      </rPr>
      <t>2.技术路径：异构平台打通与资源整合</t>
    </r>
    <r>
      <rPr>
        <sz val="11"/>
        <color indexed="8"/>
        <rFont val="宋体"/>
        <family val="3"/>
        <charset val="134"/>
      </rPr>
      <t xml:space="preserve">
项目突破单线设备独立运维的传统思路，以资源整合与资产盘活为导向，深入研究3号线既有录音系统制式与接口协议，充分利用8号线录音主机现有备件资源，打通3、8号线录音系统之间的数据链路。通过协议适配、数据库改造、通道映射等技术手段，在8号线电话系统录音中完成对3号线电话系统录音数据的接入与统一管理，实现跨线路、跨制式录音平台的融合互联。
</t>
    </r>
    <r>
      <rPr>
        <b/>
        <sz val="11"/>
        <color indexed="8"/>
        <rFont val="宋体"/>
        <family val="3"/>
        <charset val="134"/>
      </rPr>
      <t>3.核心突破：统一监测与集中纳管</t>
    </r>
    <r>
      <rPr>
        <sz val="11"/>
        <color indexed="8"/>
        <rFont val="宋体"/>
        <family val="3"/>
        <charset val="134"/>
      </rPr>
      <t xml:space="preserve">
经多轮技术测试与验证，项目成功实现在8号线无线系统网管终端上对3号线无线系统各通道录音数据的监测，并支持对录音数据进行实时监听、检索、下载与导出。运维人员无需维护两套独立平台，大幅降低管理复杂度。
</t>
    </r>
    <r>
      <rPr>
        <b/>
        <sz val="11"/>
        <color indexed="8"/>
        <rFont val="宋体"/>
        <family val="3"/>
        <charset val="134"/>
      </rPr>
      <t>4.融合成效：以存量盘活替代全线更换</t>
    </r>
    <r>
      <rPr>
        <sz val="11"/>
        <color indexed="8"/>
        <rFont val="宋体"/>
        <family val="3"/>
        <charset val="134"/>
      </rPr>
      <t xml:space="preserve">
本项目在不更换3号线录音主机、不重建网管系统、不开展大规模培训的前提下，借助存量备件与系统融合手段，实现了录音功能的延续与统一纳管。形成了“异构融合、存量盘活、集中运维”的旧线录音系统改造新模式，为后续其他老旧线路同类设备的更新换代提供了可复制、可推广的技术路径。</t>
    </r>
  </si>
  <si>
    <r>
      <rPr>
        <sz val="11"/>
        <rFont val="宋体"/>
        <family val="3"/>
        <charset val="134"/>
      </rPr>
      <t xml:space="preserve">1.异构平台跨线融合：首次实现不同线路、不同制式录音系统在数据层面的统一接入与集中管理，打破设备代际与线路边界
</t>
    </r>
    <r>
      <rPr>
        <b/>
        <sz val="11"/>
        <rFont val="宋体"/>
        <family val="3"/>
        <charset val="134"/>
      </rPr>
      <t>2.以存量资源替代全线改造</t>
    </r>
    <r>
      <rPr>
        <sz val="11"/>
        <rFont val="宋体"/>
        <family val="3"/>
        <charset val="134"/>
      </rPr>
      <t xml:space="preserve">：不依赖原厂整体替换方案，通过备件复用与系统适配，探索出低成本、低影响的旧线录音系统延续路径
</t>
    </r>
    <r>
      <rPr>
        <b/>
        <sz val="11"/>
        <rFont val="宋体"/>
        <family val="3"/>
        <charset val="134"/>
      </rPr>
      <t>3.数据库级录音迁移机制</t>
    </r>
    <r>
      <rPr>
        <sz val="11"/>
        <rFont val="宋体"/>
        <family val="3"/>
        <charset val="134"/>
      </rPr>
      <t xml:space="preserve">：在录音系统中通过数据库改造实现对电话、无线录音的跨线调度，实现录音资源的跨系统平滑迁移
</t>
    </r>
    <r>
      <rPr>
        <b/>
        <sz val="11"/>
        <rFont val="宋体"/>
        <family val="3"/>
        <charset val="134"/>
      </rPr>
      <t>4.统一纳管运维模式</t>
    </r>
    <r>
      <rPr>
        <sz val="11"/>
        <rFont val="宋体"/>
        <family val="3"/>
        <charset val="134"/>
      </rPr>
      <t>：将多套独立录音系统整合为单一管理界面，显著降低运维复杂度，为通信系统跨线资源整合提供实践范例</t>
    </r>
  </si>
  <si>
    <r>
      <rPr>
        <sz val="11"/>
        <rFont val="宋体"/>
        <family val="3"/>
        <charset val="134"/>
      </rPr>
      <t xml:space="preserve">1. 精准把脉：系统性容量评估与方案设计
项目初期对青岛北站派出所现有UPS系统的负载容量、冗余度、供电质量、电池健康状态等进行全维度精密测算与评估。通过负载特性分析、谐波检测、峰值负荷模拟等手段，科学验证安保控制中心关键负载接入的可行性与安全性，为后续整合奠定坚实的数据基础与技术依据。
</t>
    </r>
    <r>
      <rPr>
        <b/>
        <sz val="11"/>
        <rFont val="宋体"/>
        <family val="3"/>
        <charset val="134"/>
      </rPr>
      <t>2. 架构重构：高可靠供电体系自主搭建</t>
    </r>
    <r>
      <rPr>
        <sz val="11"/>
        <rFont val="宋体"/>
        <family val="3"/>
        <charset val="134"/>
      </rPr>
      <t xml:space="preserve">
在充分评估基础上，自主优化既有供电架构，将安保控制中心全部关键负载（含监控系统、门禁系统、通信设备等）无缝切换并接入至派出所UPS系统。通过精细化配电保护设计，实现新增负载与原系统负载的动态平衡与隔离保护，确保接入过程“零扰动、无感切换”，不影响任何既有业务连续运行。
</t>
    </r>
    <r>
      <rPr>
        <b/>
        <sz val="11"/>
        <rFont val="宋体"/>
        <family val="3"/>
        <charset val="134"/>
      </rPr>
      <t>3. 技术攻坚：跨系统链路贯通与适配</t>
    </r>
    <r>
      <rPr>
        <sz val="11"/>
        <rFont val="宋体"/>
        <family val="3"/>
        <charset val="134"/>
      </rPr>
      <t xml:space="preserve">
针对两套独立供电系统在配电柜接口、线缆规格、空开容量、接地方式等方面的差异，自主开展线缆路径优化、空开精准选型、配电柜改造适配等技术攻关，攻克跨系统供电整合中的物理层与电气层难题，打通资源共享的“最后一公里”。
</t>
    </r>
    <r>
      <rPr>
        <b/>
        <sz val="11"/>
        <rFont val="宋体"/>
        <family val="3"/>
        <charset val="134"/>
      </rPr>
      <t>4. 成果固化：标准化模式提炼与推广</t>
    </r>
    <r>
      <rPr>
        <sz val="11"/>
        <rFont val="宋体"/>
        <family val="3"/>
        <charset val="134"/>
      </rPr>
      <t xml:space="preserve">
项目在实施过程中同步形成跨系统供电整合的技术规范、操作流程与安全标准，将成功经验转化为可复制、可推广的标准化成果，为后续其他站点同类整合提供完整技术指引与实施样板。</t>
    </r>
  </si>
  <si>
    <r>
      <rPr>
        <sz val="11"/>
        <rFont val="宋体"/>
        <family val="3"/>
        <charset val="134"/>
      </rPr>
      <t xml:space="preserve">
</t>
    </r>
    <r>
      <rPr>
        <sz val="10"/>
        <rFont val="宋体"/>
        <family val="3"/>
        <charset val="134"/>
      </rPr>
      <t xml:space="preserve">自主化替代技术
</t>
    </r>
  </si>
  <si>
    <r>
      <rPr>
        <sz val="11"/>
        <rFont val="宋体"/>
        <family val="3"/>
        <charset val="134"/>
      </rPr>
      <t xml:space="preserve">1. </t>
    </r>
    <r>
      <rPr>
        <b/>
        <sz val="11"/>
        <color indexed="8"/>
        <rFont val="宋体"/>
        <family val="3"/>
        <charset val="134"/>
      </rPr>
      <t>结构优化创新</t>
    </r>
    <r>
      <rPr>
        <sz val="11"/>
        <color theme="1"/>
        <rFont val="宋体"/>
        <family val="3"/>
        <charset val="134"/>
        <scheme val="minor"/>
      </rPr>
      <t xml:space="preserve">：针对现场使用问题优化灯带支架的高度与位置调节结构，适配站台门实际使用场景，避免侵限与瞭望干扰；2. </t>
    </r>
    <r>
      <rPr>
        <b/>
        <sz val="11"/>
        <color indexed="8"/>
        <rFont val="宋体"/>
        <family val="3"/>
        <charset val="134"/>
      </rPr>
      <t>适配性创新</t>
    </r>
    <r>
      <rPr>
        <sz val="11"/>
        <color theme="1"/>
        <rFont val="宋体"/>
        <family val="3"/>
        <charset val="134"/>
        <scheme val="minor"/>
      </rPr>
      <t>：结合地铁实际运营需求，对改造后设备进行二次优化，实现设备与运营场景的高度适配.</t>
    </r>
  </si>
  <si>
    <r>
      <rPr>
        <sz val="11"/>
        <rFont val="宋体"/>
        <family val="3"/>
        <charset val="134"/>
      </rPr>
      <t xml:space="preserve">1. 异常状态识别滞后，依赖人员紧盯数值
    原综合监控传感器界面仅以数字形式展示温度，运维人员需在众多数据中逐一核对数值。当温度上升至警戒线（如27度）时，缺乏主动视觉提示，容易因人员疲劳或疏忽导致异常发现不及时，存在设备运行安全隐患。
</t>
    </r>
    <r>
      <rPr>
        <b/>
        <sz val="11"/>
        <rFont val="宋体"/>
        <family val="3"/>
        <charset val="134"/>
      </rPr>
      <t>2. 信息传递效率低，缺乏直观性</t>
    </r>
    <r>
      <rPr>
        <sz val="11"/>
        <rFont val="宋体"/>
        <family val="3"/>
        <charset val="134"/>
      </rPr>
      <t xml:space="preserve">
   纯数字界面在应急场景下（如高温告警）无法快速定位异常点。操作员需“先读数字、再比阈值、后判状态”，响应链路较长。在需要快速处置的场合，这种交互方式难以满足高效运维需求。
</t>
    </r>
    <r>
      <rPr>
        <b/>
        <sz val="11"/>
        <rFont val="宋体"/>
        <family val="3"/>
        <charset val="134"/>
      </rPr>
      <t>3. 预警机制单一，缺乏分级感知</t>
    </r>
    <r>
      <rPr>
        <sz val="11"/>
        <rFont val="宋体"/>
        <family val="3"/>
        <charset val="134"/>
      </rPr>
      <t xml:space="preserve">
   原有系统仅有“正常显示”一种状态，未对临界高值进行视觉分级。无法通过颜色差异在第一时间吸引注意力，不利于实现故障/温度异常的早期发现与前置处置。</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</si>
</sst>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_ "/>
    <numFmt numFmtId="177" formatCode="yyyy&quot;年&quot;m&quot;月&quot;;@"/>
    <numFmt numFmtId="178" formatCode="0.00_ "/>
  </numFmts>
  <fonts count="66" x14ac:knownFonts="1">
    <font>
      <sz val="11"/>
      <color theme="1"/>
      <name val="宋体"/>
      <charset val="134"/>
      <scheme val="minor"/>
    </font>
    <font>
      <sz val="22"/>
      <color rgb="FF000000"/>
      <name val="方正小标宋_GBK"/>
      <charset val="134"/>
    </font>
    <font>
      <b/>
      <sz val="10.5"/>
      <color rgb="FF000000"/>
      <name val="宋体"/>
      <charset val="134"/>
    </font>
    <font>
      <sz val="10.5"/>
      <color rgb="FF000000"/>
      <name val="宋体"/>
      <charset val="134"/>
    </font>
    <font>
      <sz val="10.5"/>
      <color rgb="FF000000"/>
      <name val="仿宋_GB2312"/>
      <charset val="134"/>
    </font>
    <font>
      <b/>
      <sz val="10.5"/>
      <color theme="1"/>
      <name val="宋体"/>
      <charset val="134"/>
    </font>
    <font>
      <sz val="10.5"/>
      <color theme="1"/>
      <name val="宋体"/>
      <charset val="134"/>
    </font>
    <font>
      <sz val="14"/>
      <color theme="1"/>
      <name val="宋体"/>
      <charset val="134"/>
      <scheme val="minor"/>
    </font>
    <font>
      <sz val="11"/>
      <name val="宋体"/>
      <charset val="134"/>
      <scheme val="minor"/>
    </font>
    <font>
      <sz val="12"/>
      <color theme="1"/>
      <name val="宋体"/>
      <charset val="134"/>
    </font>
    <font>
      <sz val="12"/>
      <name val="宋体"/>
      <charset val="134"/>
      <scheme val="minor"/>
    </font>
    <font>
      <sz val="12"/>
      <name val="宋体"/>
      <charset val="134"/>
    </font>
    <font>
      <sz val="12"/>
      <color indexed="8"/>
      <name val="宋体"/>
      <charset val="134"/>
    </font>
    <font>
      <sz val="12"/>
      <color theme="1"/>
      <name val="宋体"/>
      <charset val="134"/>
      <scheme val="minor"/>
    </font>
    <font>
      <b/>
      <sz val="20"/>
      <color theme="1"/>
      <name val="宋体"/>
      <charset val="134"/>
      <scheme val="minor"/>
    </font>
    <font>
      <b/>
      <sz val="16"/>
      <name val="宋体"/>
      <charset val="134"/>
    </font>
    <font>
      <sz val="11"/>
      <name val="宋体"/>
      <charset val="134"/>
    </font>
    <font>
      <sz val="11"/>
      <name val="等线"/>
      <charset val="134"/>
    </font>
    <font>
      <b/>
      <sz val="11"/>
      <name val="等线"/>
      <charset val="134"/>
    </font>
    <font>
      <b/>
      <sz val="11"/>
      <color rgb="FF000000"/>
      <name val="等线"/>
      <charset val="134"/>
    </font>
    <font>
      <sz val="11"/>
      <color rgb="FFFFFF00"/>
      <name val="等线"/>
      <charset val="134"/>
    </font>
    <font>
      <b/>
      <sz val="11"/>
      <color theme="1"/>
      <name val="宋体"/>
      <charset val="134"/>
      <scheme val="minor"/>
    </font>
    <font>
      <b/>
      <sz val="11"/>
      <name val="宋体"/>
      <charset val="134"/>
      <scheme val="minor"/>
    </font>
    <font>
      <sz val="10"/>
      <name val="宋体"/>
      <charset val="134"/>
    </font>
    <font>
      <sz val="10"/>
      <name val="宋体"/>
      <charset val="134"/>
      <scheme val="minor"/>
    </font>
    <font>
      <sz val="11"/>
      <color rgb="FF000000"/>
      <name val="宋体"/>
      <charset val="134"/>
    </font>
    <font>
      <b/>
      <sz val="16"/>
      <name val="宋体"/>
      <charset val="134"/>
      <scheme val="minor"/>
    </font>
    <font>
      <sz val="11"/>
      <color theme="1"/>
      <name val="等线"/>
      <charset val="134"/>
    </font>
    <font>
      <sz val="11"/>
      <color theme="1"/>
      <name val="宋体"/>
      <charset val="134"/>
    </font>
    <font>
      <b/>
      <sz val="11"/>
      <color indexed="8"/>
      <name val="等线"/>
      <charset val="134"/>
    </font>
    <font>
      <sz val="11"/>
      <color indexed="8"/>
      <name val="等线"/>
      <charset val="134"/>
    </font>
    <font>
      <b/>
      <sz val="11"/>
      <color indexed="8"/>
      <name val="宋体"/>
      <charset val="134"/>
    </font>
    <font>
      <sz val="11"/>
      <color indexed="8"/>
      <name val="宋体"/>
      <charset val="134"/>
    </font>
    <font>
      <b/>
      <sz val="11"/>
      <name val="宋体"/>
      <charset val="134"/>
    </font>
    <font>
      <sz val="9"/>
      <name val="宋体"/>
      <charset val="134"/>
      <scheme val="minor"/>
    </font>
    <font>
      <b/>
      <sz val="14"/>
      <color theme="1"/>
      <name val="宋体"/>
      <family val="3"/>
      <charset val="134"/>
      <scheme val="minor"/>
    </font>
    <font>
      <sz val="14"/>
      <color rgb="FFFF0000"/>
      <name val="宋体"/>
      <family val="3"/>
      <charset val="134"/>
      <scheme val="minor"/>
    </font>
    <font>
      <sz val="11"/>
      <color theme="1"/>
      <name val="宋体"/>
      <family val="3"/>
      <charset val="134"/>
      <scheme val="minor"/>
    </font>
    <font>
      <b/>
      <sz val="16"/>
      <name val="宋体"/>
      <family val="3"/>
      <charset val="134"/>
      <scheme val="minor"/>
    </font>
    <font>
      <sz val="12"/>
      <name val="宋体"/>
      <family val="3"/>
      <charset val="134"/>
    </font>
    <font>
      <sz val="12"/>
      <name val="宋体"/>
      <family val="3"/>
      <charset val="134"/>
      <scheme val="minor"/>
    </font>
    <font>
      <sz val="12"/>
      <color theme="1"/>
      <name val="宋体"/>
      <family val="3"/>
      <charset val="134"/>
      <scheme val="minor"/>
    </font>
    <font>
      <sz val="12"/>
      <color theme="1"/>
      <name val="宋体"/>
      <family val="3"/>
      <charset val="134"/>
    </font>
    <font>
      <b/>
      <sz val="16"/>
      <name val="宋体"/>
      <family val="3"/>
      <charset val="134"/>
    </font>
    <font>
      <b/>
      <sz val="11"/>
      <color theme="1"/>
      <name val="宋体"/>
      <family val="3"/>
      <charset val="134"/>
      <scheme val="minor"/>
    </font>
    <font>
      <b/>
      <sz val="20"/>
      <color theme="1"/>
      <name val="宋体"/>
      <family val="3"/>
      <charset val="134"/>
      <scheme val="minor"/>
    </font>
    <font>
      <sz val="9"/>
      <name val="宋体"/>
      <family val="3"/>
      <charset val="134"/>
      <scheme val="minor"/>
    </font>
    <font>
      <sz val="14"/>
      <color theme="1"/>
      <name val="宋体"/>
      <family val="3"/>
      <charset val="134"/>
      <scheme val="minor"/>
    </font>
    <font>
      <sz val="11"/>
      <name val="宋体"/>
      <family val="3"/>
      <charset val="134"/>
      <scheme val="minor"/>
    </font>
    <font>
      <sz val="11"/>
      <name val="宋体"/>
      <family val="3"/>
      <charset val="134"/>
    </font>
    <font>
      <sz val="11"/>
      <name val="等线"/>
      <family val="3"/>
      <charset val="134"/>
    </font>
    <font>
      <b/>
      <sz val="11"/>
      <name val="等线"/>
      <family val="3"/>
      <charset val="134"/>
    </font>
    <font>
      <b/>
      <sz val="11"/>
      <color rgb="FF000000"/>
      <name val="等线"/>
      <family val="3"/>
      <charset val="134"/>
    </font>
    <font>
      <b/>
      <sz val="11"/>
      <color indexed="8"/>
      <name val="等线"/>
      <family val="3"/>
      <charset val="134"/>
    </font>
    <font>
      <sz val="11"/>
      <color indexed="8"/>
      <name val="等线"/>
      <family val="3"/>
      <charset val="134"/>
    </font>
    <font>
      <b/>
      <sz val="11"/>
      <color indexed="8"/>
      <name val="宋体"/>
      <family val="3"/>
      <charset val="134"/>
    </font>
    <font>
      <sz val="11"/>
      <color indexed="8"/>
      <name val="宋体"/>
      <family val="3"/>
      <charset val="134"/>
    </font>
    <font>
      <b/>
      <sz val="11"/>
      <name val="宋体"/>
      <family val="3"/>
      <charset val="134"/>
    </font>
    <font>
      <sz val="12"/>
      <color indexed="8"/>
      <name val="宋体"/>
      <family val="3"/>
      <charset val="134"/>
    </font>
    <font>
      <sz val="11"/>
      <color rgb="FF000000"/>
      <name val="宋体"/>
      <family val="3"/>
      <charset val="134"/>
    </font>
    <font>
      <sz val="11"/>
      <color rgb="FFFFFF00"/>
      <name val="等线"/>
      <family val="3"/>
      <charset val="134"/>
    </font>
    <font>
      <sz val="11"/>
      <color theme="1"/>
      <name val="等线"/>
      <family val="3"/>
      <charset val="134"/>
    </font>
    <font>
      <b/>
      <sz val="11"/>
      <name val="宋体"/>
      <family val="3"/>
      <charset val="134"/>
      <scheme val="minor"/>
    </font>
    <font>
      <sz val="11"/>
      <color theme="1"/>
      <name val="宋体"/>
      <family val="3"/>
      <charset val="134"/>
    </font>
    <font>
      <sz val="10"/>
      <name val="宋体"/>
      <family val="3"/>
      <charset val="134"/>
    </font>
    <font>
      <sz val="10"/>
      <name val="宋体"/>
      <family val="3"/>
      <charset val="134"/>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rgb="FF92D050"/>
        <bgColor indexed="64"/>
      </patternFill>
    </fill>
  </fills>
  <borders count="20">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rgb="FF000000"/>
      </top>
      <bottom style="thin">
        <color auto="1"/>
      </bottom>
      <diagonal/>
    </border>
    <border>
      <left style="thin">
        <color auto="1"/>
      </left>
      <right style="thin">
        <color auto="1"/>
      </right>
      <top style="thin">
        <color rgb="FF000000"/>
      </top>
      <bottom/>
      <diagonal/>
    </border>
    <border>
      <left style="thin">
        <color rgb="FF000000"/>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rgb="FF000000"/>
      </top>
      <bottom style="thin">
        <color rgb="FF000000"/>
      </bottom>
      <diagonal/>
    </border>
    <border>
      <left/>
      <right style="thin">
        <color rgb="FF000000"/>
      </right>
      <top style="thin">
        <color rgb="FF000000"/>
      </top>
      <bottom/>
      <diagonal/>
    </border>
    <border>
      <left style="thin">
        <color auto="1"/>
      </left>
      <right style="thin">
        <color auto="1"/>
      </right>
      <top style="thin">
        <color auto="1"/>
      </top>
      <bottom style="thin">
        <color rgb="FF000000"/>
      </bottom>
      <diagonal/>
    </border>
    <border>
      <left style="thin">
        <color auto="1"/>
      </left>
      <right style="thin">
        <color auto="1"/>
      </right>
      <top/>
      <bottom style="thin">
        <color auto="1"/>
      </bottom>
      <diagonal/>
    </border>
    <border>
      <left/>
      <right/>
      <top style="thin">
        <color auto="1"/>
      </top>
      <bottom style="thin">
        <color auto="1"/>
      </bottom>
      <diagonal/>
    </border>
  </borders>
  <cellStyleXfs count="1">
    <xf numFmtId="0" fontId="0" fillId="0" borderId="0">
      <alignment vertical="center"/>
    </xf>
  </cellStyleXfs>
  <cellXfs count="230">
    <xf numFmtId="0" fontId="0" fillId="0" borderId="0" xfId="0">
      <alignment vertical="center"/>
    </xf>
    <xf numFmtId="0" fontId="0" fillId="0" borderId="0" xfId="0" applyAlignment="1">
      <alignment horizontal="left" vertical="center"/>
    </xf>
    <xf numFmtId="0" fontId="2" fillId="0" borderId="2" xfId="0" applyFont="1" applyBorder="1" applyAlignment="1">
      <alignment horizontal="center" vertical="center" wrapText="1"/>
    </xf>
    <xf numFmtId="0" fontId="3" fillId="0" borderId="2" xfId="0" applyFont="1" applyBorder="1" applyAlignment="1">
      <alignment horizontal="left" vertical="center" wrapText="1"/>
    </xf>
    <xf numFmtId="0" fontId="4" fillId="0" borderId="2" xfId="0" applyFont="1" applyBorder="1" applyAlignment="1">
      <alignment horizontal="center" vertical="center" wrapText="1"/>
    </xf>
    <xf numFmtId="49" fontId="4" fillId="0" borderId="2" xfId="0" applyNumberFormat="1" applyFont="1" applyBorder="1" applyAlignment="1">
      <alignment horizontal="center" vertical="center" wrapText="1"/>
    </xf>
    <xf numFmtId="0" fontId="3" fillId="0" borderId="2" xfId="0" applyFont="1" applyBorder="1" applyAlignment="1">
      <alignment vertical="center" wrapText="1"/>
    </xf>
    <xf numFmtId="0" fontId="7" fillId="0" borderId="0" xfId="0" applyFo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1" fillId="0" borderId="1" xfId="0" applyFont="1" applyBorder="1" applyAlignment="1">
      <alignment horizontal="center" vertical="center" wrapText="1"/>
    </xf>
    <xf numFmtId="0" fontId="12" fillId="0" borderId="0" xfId="0" applyFont="1" applyAlignment="1">
      <alignment horizontal="center" vertical="center"/>
    </xf>
    <xf numFmtId="0" fontId="10" fillId="0" borderId="0" xfId="0" applyFont="1" applyAlignment="1">
      <alignment horizontal="center" vertical="center" wrapText="1"/>
    </xf>
    <xf numFmtId="0" fontId="9" fillId="0" borderId="0" xfId="0" applyFont="1" applyAlignment="1">
      <alignment horizontal="center" vertical="center" wrapText="1"/>
    </xf>
    <xf numFmtId="0" fontId="13" fillId="0" borderId="0" xfId="0" applyFont="1" applyAlignment="1">
      <alignment horizontal="center" vertical="center"/>
    </xf>
    <xf numFmtId="0" fontId="13" fillId="0" borderId="0" xfId="0" applyFont="1">
      <alignment vertical="center"/>
    </xf>
    <xf numFmtId="0" fontId="11" fillId="0" borderId="0" xfId="0" applyFont="1" applyAlignment="1">
      <alignment horizontal="center" vertical="center" wrapText="1"/>
    </xf>
    <xf numFmtId="0" fontId="11" fillId="0" borderId="0" xfId="0" applyFont="1">
      <alignment vertical="center"/>
    </xf>
    <xf numFmtId="0" fontId="0" fillId="0" borderId="0" xfId="0" applyAlignment="1">
      <alignment horizontal="center" vertical="center"/>
    </xf>
    <xf numFmtId="0" fontId="0" fillId="0" borderId="0" xfId="0" applyAlignment="1">
      <alignment horizontal="center"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1" xfId="0" applyFont="1" applyBorder="1" applyAlignment="1">
      <alignment horizontal="left" vertical="center" wrapText="1"/>
    </xf>
    <xf numFmtId="0" fontId="17" fillId="0" borderId="1" xfId="0" applyFont="1" applyBorder="1" applyAlignment="1">
      <alignment horizontal="left" vertical="center" wrapText="1"/>
    </xf>
    <xf numFmtId="0" fontId="18"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left" vertical="center"/>
    </xf>
    <xf numFmtId="0" fontId="19" fillId="0" borderId="1" xfId="0" applyFont="1" applyBorder="1" applyAlignment="1">
      <alignment horizontal="left" vertical="center" wrapText="1"/>
    </xf>
    <xf numFmtId="0" fontId="17" fillId="0" borderId="5" xfId="0" applyFont="1" applyBorder="1" applyAlignment="1">
      <alignment horizontal="left" vertical="center" wrapText="1"/>
    </xf>
    <xf numFmtId="0" fontId="13" fillId="0" borderId="1" xfId="0" applyFont="1" applyBorder="1" applyAlignment="1">
      <alignment horizontal="left" vertical="center"/>
    </xf>
    <xf numFmtId="176" fontId="13" fillId="0" borderId="1" xfId="0" applyNumberFormat="1" applyFont="1" applyBorder="1" applyAlignment="1">
      <alignment horizontal="left" vertical="center"/>
    </xf>
    <xf numFmtId="0" fontId="17" fillId="0" borderId="4" xfId="0" applyFont="1" applyBorder="1" applyAlignment="1">
      <alignment horizontal="left" vertical="center" wrapText="1"/>
    </xf>
    <xf numFmtId="0" fontId="22" fillId="0" borderId="1" xfId="0" applyFont="1" applyBorder="1" applyAlignment="1">
      <alignment horizontal="left" vertical="center" wrapText="1"/>
    </xf>
    <xf numFmtId="0" fontId="21" fillId="0" borderId="1" xfId="0" applyFont="1" applyBorder="1" applyAlignment="1">
      <alignment horizontal="left" vertical="center" wrapText="1"/>
    </xf>
    <xf numFmtId="0" fontId="23" fillId="0" borderId="1" xfId="0" applyFont="1" applyBorder="1" applyAlignment="1">
      <alignment horizontal="left" vertical="center" wrapText="1"/>
    </xf>
    <xf numFmtId="0" fontId="24" fillId="0" borderId="1" xfId="0" applyFont="1" applyBorder="1" applyAlignment="1">
      <alignment horizontal="left" vertical="center" wrapText="1"/>
    </xf>
    <xf numFmtId="14" fontId="16" fillId="0" borderId="1" xfId="0" applyNumberFormat="1" applyFont="1" applyBorder="1" applyAlignment="1">
      <alignment horizontal="left" vertical="center" wrapText="1"/>
    </xf>
    <xf numFmtId="0" fontId="16" fillId="0" borderId="6" xfId="0" applyFont="1" applyBorder="1" applyAlignment="1">
      <alignment horizontal="left" vertical="center" wrapText="1"/>
    </xf>
    <xf numFmtId="0" fontId="16" fillId="0" borderId="5" xfId="0" applyFont="1" applyBorder="1" applyAlignment="1">
      <alignment horizontal="left" vertical="center" wrapText="1"/>
    </xf>
    <xf numFmtId="0" fontId="16" fillId="0" borderId="11" xfId="0" applyFont="1" applyBorder="1" applyAlignment="1">
      <alignment horizontal="left" vertical="center" wrapText="1"/>
    </xf>
    <xf numFmtId="0" fontId="16" fillId="0" borderId="12" xfId="0" applyFont="1" applyBorder="1" applyAlignment="1">
      <alignment horizontal="left" vertical="center" wrapText="1"/>
    </xf>
    <xf numFmtId="0" fontId="25" fillId="0" borderId="1" xfId="0" applyFont="1" applyBorder="1" applyAlignment="1">
      <alignment horizontal="left" vertical="center" wrapText="1"/>
    </xf>
    <xf numFmtId="31" fontId="16" fillId="0" borderId="1" xfId="0" applyNumberFormat="1" applyFont="1" applyBorder="1" applyAlignment="1">
      <alignment horizontal="left" vertical="center" wrapText="1"/>
    </xf>
    <xf numFmtId="31" fontId="17" fillId="0" borderId="1" xfId="0" applyNumberFormat="1" applyFont="1" applyBorder="1" applyAlignment="1">
      <alignment horizontal="left" vertical="center" wrapText="1"/>
    </xf>
    <xf numFmtId="31" fontId="0" fillId="0" borderId="1" xfId="0" applyNumberFormat="1" applyBorder="1" applyAlignment="1">
      <alignment horizontal="left" vertical="center"/>
    </xf>
    <xf numFmtId="57" fontId="0" fillId="0" borderId="1" xfId="0" applyNumberFormat="1" applyBorder="1" applyAlignment="1">
      <alignment horizontal="left" vertical="center" wrapText="1"/>
    </xf>
    <xf numFmtId="57" fontId="16" fillId="0" borderId="1" xfId="0" applyNumberFormat="1" applyFont="1" applyBorder="1" applyAlignment="1">
      <alignment horizontal="left" vertical="center"/>
    </xf>
    <xf numFmtId="57" fontId="0" fillId="0" borderId="1" xfId="0" applyNumberFormat="1" applyBorder="1" applyAlignment="1">
      <alignment horizontal="left" vertical="center"/>
    </xf>
    <xf numFmtId="0" fontId="16" fillId="0" borderId="13" xfId="0" applyFont="1" applyBorder="1" applyAlignment="1">
      <alignment horizontal="left" vertical="center" wrapText="1"/>
    </xf>
    <xf numFmtId="0" fontId="16" fillId="0" borderId="14" xfId="0" applyFont="1" applyBorder="1" applyAlignment="1">
      <alignment horizontal="left" vertical="center" wrapText="1"/>
    </xf>
    <xf numFmtId="177" fontId="0" fillId="0" borderId="1" xfId="0" applyNumberFormat="1" applyBorder="1" applyAlignment="1">
      <alignment horizontal="left" vertical="center"/>
    </xf>
    <xf numFmtId="0" fontId="28" fillId="0" borderId="1" xfId="0" applyFont="1" applyBorder="1" applyAlignment="1">
      <alignment horizontal="left" vertical="center" wrapText="1"/>
    </xf>
    <xf numFmtId="0" fontId="16" fillId="0" borderId="17" xfId="0" applyFont="1" applyBorder="1" applyAlignment="1">
      <alignment horizontal="left" vertical="center" wrapText="1"/>
    </xf>
    <xf numFmtId="57" fontId="16" fillId="0" borderId="1" xfId="0" applyNumberFormat="1" applyFont="1" applyBorder="1" applyAlignment="1">
      <alignment horizontal="left" vertical="center" wrapText="1"/>
    </xf>
    <xf numFmtId="0" fontId="8" fillId="0" borderId="1" xfId="0" applyFont="1" applyBorder="1" applyAlignment="1">
      <alignment horizontal="left" vertical="center"/>
    </xf>
    <xf numFmtId="0" fontId="8" fillId="0" borderId="1" xfId="0" applyFont="1" applyBorder="1" applyAlignment="1">
      <alignment horizontal="left" vertical="center" wrapText="1"/>
    </xf>
    <xf numFmtId="31" fontId="25" fillId="0" borderId="1" xfId="0" applyNumberFormat="1" applyFont="1" applyBorder="1" applyAlignment="1">
      <alignment horizontal="left" vertical="center" wrapText="1"/>
    </xf>
    <xf numFmtId="0" fontId="11"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3" fillId="0" borderId="0" xfId="0" applyFont="1" applyAlignment="1">
      <alignment horizontal="center" vertical="center" wrapText="1"/>
    </xf>
    <xf numFmtId="0" fontId="13" fillId="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0" fillId="2" borderId="1" xfId="0" applyFill="1" applyBorder="1" applyAlignment="1">
      <alignment horizontal="center" vertical="center" wrapText="1"/>
    </xf>
    <xf numFmtId="0" fontId="11" fillId="0" borderId="10" xfId="0" applyFont="1" applyBorder="1" applyAlignment="1">
      <alignment horizontal="center" vertical="center" wrapText="1"/>
    </xf>
    <xf numFmtId="0" fontId="39"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0" fontId="41" fillId="2" borderId="1" xfId="0" applyFont="1" applyFill="1" applyBorder="1" applyAlignment="1">
      <alignment horizontal="center" vertical="center" wrapText="1"/>
    </xf>
    <xf numFmtId="0" fontId="42" fillId="2" borderId="1" xfId="0" applyFont="1" applyFill="1" applyBorder="1" applyAlignment="1">
      <alignment horizontal="center" vertical="center" wrapText="1"/>
    </xf>
    <xf numFmtId="0" fontId="17"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17" fillId="0" borderId="6" xfId="0" applyFont="1" applyBorder="1" applyAlignment="1">
      <alignment horizontal="center" vertical="center" wrapText="1"/>
    </xf>
    <xf numFmtId="0" fontId="23" fillId="0" borderId="1" xfId="0" applyFont="1" applyBorder="1" applyAlignment="1">
      <alignment horizontal="center" vertical="center" wrapText="1"/>
    </xf>
    <xf numFmtId="0" fontId="16" fillId="0" borderId="6" xfId="0" applyFont="1" applyBorder="1" applyAlignment="1">
      <alignment horizontal="center" vertical="center" wrapText="1"/>
    </xf>
    <xf numFmtId="0" fontId="16" fillId="0" borderId="5" xfId="0" applyFont="1" applyBorder="1" applyAlignment="1">
      <alignment horizontal="center" vertical="center" wrapText="1"/>
    </xf>
    <xf numFmtId="0" fontId="25" fillId="0" borderId="1" xfId="0" applyFont="1" applyBorder="1" applyAlignment="1">
      <alignment horizontal="center" vertical="center" wrapText="1"/>
    </xf>
    <xf numFmtId="0" fontId="25" fillId="0" borderId="5" xfId="0" applyFont="1" applyBorder="1" applyAlignment="1">
      <alignment horizontal="left" vertical="center" wrapText="1"/>
    </xf>
    <xf numFmtId="0" fontId="16" fillId="0" borderId="4" xfId="0" applyFont="1" applyBorder="1" applyAlignment="1">
      <alignment horizontal="left" vertical="center" wrapText="1"/>
    </xf>
    <xf numFmtId="0" fontId="16" fillId="0" borderId="9" xfId="0" applyFont="1" applyBorder="1" applyAlignment="1">
      <alignment horizontal="left" vertical="center" wrapText="1"/>
    </xf>
    <xf numFmtId="0" fontId="16" fillId="0" borderId="7" xfId="0" applyFont="1" applyBorder="1" applyAlignment="1">
      <alignment horizontal="left" vertical="center" wrapText="1"/>
    </xf>
    <xf numFmtId="0" fontId="16" fillId="0" borderId="8" xfId="0" applyFont="1" applyBorder="1" applyAlignment="1">
      <alignment horizontal="left" vertical="center" wrapText="1"/>
    </xf>
    <xf numFmtId="0" fontId="16" fillId="0" borderId="10" xfId="0" applyFont="1" applyBorder="1" applyAlignment="1">
      <alignment horizontal="left" vertical="center" wrapText="1"/>
    </xf>
    <xf numFmtId="14" fontId="16" fillId="0" borderId="4" xfId="0" applyNumberFormat="1" applyFont="1" applyBorder="1" applyAlignment="1">
      <alignment horizontal="left" vertical="center" wrapText="1"/>
    </xf>
    <xf numFmtId="0" fontId="0" fillId="0" borderId="5" xfId="0" applyBorder="1" applyAlignment="1">
      <alignment horizontal="left" vertical="center" wrapText="1"/>
    </xf>
    <xf numFmtId="177" fontId="16" fillId="0" borderId="1" xfId="0" applyNumberFormat="1" applyFont="1" applyBorder="1" applyAlignment="1">
      <alignment horizontal="left" vertical="center" wrapText="1"/>
    </xf>
    <xf numFmtId="0" fontId="20" fillId="0" borderId="1" xfId="0" applyFont="1" applyBorder="1" applyAlignment="1">
      <alignment horizontal="left" vertical="center" wrapText="1"/>
    </xf>
    <xf numFmtId="0" fontId="0" fillId="0" borderId="5" xfId="0" applyBorder="1" applyAlignment="1">
      <alignment horizontal="left" vertical="center"/>
    </xf>
    <xf numFmtId="0" fontId="16" fillId="0" borderId="16" xfId="0" applyFont="1" applyBorder="1" applyAlignment="1">
      <alignment horizontal="left" vertical="center" wrapText="1"/>
    </xf>
    <xf numFmtId="0" fontId="25" fillId="0" borderId="6" xfId="0" applyFont="1" applyBorder="1" applyAlignment="1">
      <alignment horizontal="left" vertical="center" wrapText="1"/>
    </xf>
    <xf numFmtId="57" fontId="17" fillId="0" borderId="1" xfId="0" applyNumberFormat="1" applyFont="1" applyBorder="1" applyAlignment="1">
      <alignment horizontal="left" vertical="center" wrapText="1"/>
    </xf>
    <xf numFmtId="57" fontId="16" fillId="0" borderId="6" xfId="0" applyNumberFormat="1" applyFont="1" applyBorder="1" applyAlignment="1">
      <alignment horizontal="left" vertical="center" wrapText="1"/>
    </xf>
    <xf numFmtId="177" fontId="0" fillId="0" borderId="6" xfId="0" applyNumberFormat="1" applyBorder="1" applyAlignment="1">
      <alignment horizontal="left" vertical="center"/>
    </xf>
    <xf numFmtId="0" fontId="27" fillId="0" borderId="5" xfId="0" applyFont="1" applyBorder="1" applyAlignment="1">
      <alignment horizontal="left" vertical="center" wrapText="1"/>
    </xf>
    <xf numFmtId="0" fontId="27" fillId="0" borderId="1" xfId="0" applyFont="1" applyBorder="1" applyAlignment="1">
      <alignment horizontal="left" vertical="center" wrapText="1"/>
    </xf>
    <xf numFmtId="0" fontId="16" fillId="0" borderId="0" xfId="0" applyFont="1" applyAlignment="1">
      <alignment horizontal="left" vertical="center" wrapText="1"/>
    </xf>
    <xf numFmtId="0" fontId="17" fillId="0" borderId="12" xfId="0" applyFont="1" applyBorder="1" applyAlignment="1">
      <alignment horizontal="left" vertical="center" wrapText="1"/>
    </xf>
    <xf numFmtId="0" fontId="8" fillId="0" borderId="15" xfId="0" applyFont="1" applyBorder="1" applyAlignment="1">
      <alignment horizontal="left" vertical="center"/>
    </xf>
    <xf numFmtId="0" fontId="16" fillId="0" borderId="15" xfId="0" applyFont="1" applyBorder="1" applyAlignment="1">
      <alignment horizontal="left" vertical="center" wrapText="1"/>
    </xf>
    <xf numFmtId="0" fontId="8" fillId="0" borderId="12" xfId="0" applyFont="1" applyBorder="1" applyAlignment="1">
      <alignment horizontal="left" vertical="center"/>
    </xf>
    <xf numFmtId="0" fontId="0" fillId="0" borderId="11" xfId="0" applyBorder="1" applyAlignment="1">
      <alignment horizontal="left" vertical="center"/>
    </xf>
    <xf numFmtId="178" fontId="0" fillId="0" borderId="0" xfId="0" applyNumberFormat="1" applyAlignment="1">
      <alignment horizontal="center" vertical="center" wrapText="1"/>
    </xf>
    <xf numFmtId="178" fontId="11" fillId="2" borderId="1" xfId="0" applyNumberFormat="1" applyFont="1" applyFill="1" applyBorder="1" applyAlignment="1">
      <alignment horizontal="center" vertical="center" wrapText="1"/>
    </xf>
    <xf numFmtId="178" fontId="0" fillId="2" borderId="1" xfId="0" applyNumberFormat="1" applyFill="1" applyBorder="1" applyAlignment="1">
      <alignment horizontal="center" vertical="center" wrapText="1"/>
    </xf>
    <xf numFmtId="178" fontId="9" fillId="2" borderId="1" xfId="0" applyNumberFormat="1" applyFont="1" applyFill="1" applyBorder="1" applyAlignment="1">
      <alignment horizontal="center" vertical="center" wrapText="1"/>
    </xf>
    <xf numFmtId="178" fontId="10" fillId="2" borderId="1" xfId="0" applyNumberFormat="1" applyFont="1" applyFill="1" applyBorder="1" applyAlignment="1">
      <alignment horizontal="center" vertical="center" wrapText="1"/>
    </xf>
    <xf numFmtId="178" fontId="13" fillId="2" borderId="1" xfId="0" applyNumberFormat="1" applyFont="1" applyFill="1" applyBorder="1" applyAlignment="1">
      <alignment horizontal="center" vertical="center" wrapText="1"/>
    </xf>
    <xf numFmtId="0" fontId="16" fillId="3" borderId="1" xfId="0" applyFont="1" applyFill="1" applyBorder="1" applyAlignment="1">
      <alignment horizontal="center" vertical="center" wrapText="1"/>
    </xf>
    <xf numFmtId="0" fontId="26" fillId="0" borderId="0" xfId="0" applyFont="1" applyAlignment="1">
      <alignment horizontal="center" vertical="center" wrapText="1"/>
    </xf>
    <xf numFmtId="0" fontId="14" fillId="0" borderId="11" xfId="0" applyFont="1" applyBorder="1" applyAlignment="1">
      <alignment horizontal="center" vertical="center"/>
    </xf>
    <xf numFmtId="0" fontId="14" fillId="0" borderId="19" xfId="0" applyFont="1" applyBorder="1" applyAlignment="1">
      <alignment horizontal="center" vertical="center"/>
    </xf>
    <xf numFmtId="0" fontId="14" fillId="0" borderId="10" xfId="0" applyFont="1" applyBorder="1" applyAlignment="1">
      <alignment horizontal="center" vertical="center"/>
    </xf>
    <xf numFmtId="0" fontId="36" fillId="0" borderId="11" xfId="0" applyFont="1" applyBorder="1" applyAlignment="1">
      <alignment horizontal="left" vertical="center" wrapText="1"/>
    </xf>
    <xf numFmtId="0" fontId="36" fillId="0" borderId="19" xfId="0" applyFont="1" applyBorder="1" applyAlignment="1">
      <alignment horizontal="left" vertical="center" wrapText="1"/>
    </xf>
    <xf numFmtId="0" fontId="36" fillId="0" borderId="10" xfId="0" applyFont="1" applyBorder="1" applyAlignment="1">
      <alignment horizontal="left" vertical="center" wrapText="1"/>
    </xf>
    <xf numFmtId="0" fontId="35" fillId="0" borderId="11" xfId="0" applyFont="1" applyBorder="1" applyAlignment="1">
      <alignment horizontal="left" vertical="center" wrapText="1"/>
    </xf>
    <xf numFmtId="0" fontId="35" fillId="0" borderId="19" xfId="0" applyFont="1" applyBorder="1" applyAlignment="1">
      <alignment horizontal="left" vertical="center" wrapText="1"/>
    </xf>
    <xf numFmtId="0" fontId="35" fillId="0" borderId="10" xfId="0" applyFont="1" applyBorder="1" applyAlignment="1">
      <alignment horizontal="left" vertical="center" wrapText="1"/>
    </xf>
    <xf numFmtId="0" fontId="15" fillId="0" borderId="11" xfId="0" applyFont="1" applyBorder="1" applyAlignment="1">
      <alignment horizontal="center" vertical="center" wrapText="1"/>
    </xf>
    <xf numFmtId="0" fontId="15" fillId="0" borderId="10" xfId="0" applyFont="1" applyBorder="1" applyAlignment="1">
      <alignment horizontal="center" vertical="center" wrapText="1"/>
    </xf>
    <xf numFmtId="0" fontId="43" fillId="0" borderId="13"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3" xfId="0" applyFont="1" applyBorder="1" applyAlignment="1">
      <alignment horizontal="center" vertical="center" wrapText="1"/>
    </xf>
    <xf numFmtId="177" fontId="15" fillId="0" borderId="13" xfId="0" applyNumberFormat="1" applyFont="1" applyBorder="1" applyAlignment="1">
      <alignment horizontal="center" vertical="center" wrapText="1"/>
    </xf>
    <xf numFmtId="177" fontId="15" fillId="0" borderId="18" xfId="0" applyNumberFormat="1" applyFont="1" applyBorder="1" applyAlignment="1">
      <alignment horizontal="center" vertical="center" wrapText="1"/>
    </xf>
    <xf numFmtId="0" fontId="26" fillId="0" borderId="13" xfId="0" applyFont="1" applyBorder="1" applyAlignment="1">
      <alignment horizontal="center" vertical="center" wrapText="1"/>
    </xf>
    <xf numFmtId="0" fontId="26" fillId="0" borderId="18" xfId="0" applyFont="1" applyBorder="1" applyAlignment="1">
      <alignment horizontal="center" vertical="center" wrapText="1"/>
    </xf>
    <xf numFmtId="0" fontId="26" fillId="2" borderId="13" xfId="0" applyFont="1" applyFill="1" applyBorder="1" applyAlignment="1">
      <alignment horizontal="center" vertical="center" wrapText="1"/>
    </xf>
    <xf numFmtId="0" fontId="26" fillId="2" borderId="18" xfId="0" applyFont="1" applyFill="1" applyBorder="1" applyAlignment="1">
      <alignment horizontal="center" vertical="center" wrapText="1"/>
    </xf>
    <xf numFmtId="0" fontId="38" fillId="2" borderId="13" xfId="0" applyFont="1" applyFill="1" applyBorder="1" applyAlignment="1">
      <alignment horizontal="center" vertical="center" wrapText="1"/>
    </xf>
    <xf numFmtId="0" fontId="38" fillId="2" borderId="18"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5" fillId="0" borderId="3" xfId="0" applyFont="1" applyBorder="1" applyAlignment="1">
      <alignment horizontal="center" vertical="center" wrapText="1"/>
    </xf>
    <xf numFmtId="0" fontId="5" fillId="0" borderId="3" xfId="0" applyFont="1" applyBorder="1" applyAlignment="1">
      <alignment horizontal="left" vertical="center" wrapText="1"/>
    </xf>
    <xf numFmtId="0" fontId="6" fillId="0" borderId="1" xfId="0" applyFont="1" applyBorder="1" applyAlignment="1">
      <alignment horizontal="left"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left" vertical="center" wrapText="1"/>
    </xf>
    <xf numFmtId="0" fontId="3" fillId="0" borderId="2" xfId="0" applyFont="1" applyBorder="1" applyAlignment="1">
      <alignment horizontal="left" vertical="center" wrapText="1"/>
    </xf>
    <xf numFmtId="0" fontId="4" fillId="0" borderId="2" xfId="0" applyFont="1" applyBorder="1" applyAlignment="1">
      <alignment horizontal="center" vertical="center" wrapText="1"/>
    </xf>
    <xf numFmtId="0" fontId="44" fillId="4" borderId="1" xfId="0" applyFont="1" applyFill="1" applyBorder="1" applyAlignment="1">
      <alignment horizontal="center" vertical="center"/>
    </xf>
    <xf numFmtId="0" fontId="45" fillId="0" borderId="1" xfId="0" applyFont="1" applyBorder="1" applyAlignment="1">
      <alignment horizontal="center" vertical="center"/>
    </xf>
    <xf numFmtId="0" fontId="36" fillId="0" borderId="1" xfId="0" applyFont="1" applyBorder="1" applyAlignment="1">
      <alignment horizontal="left" vertical="center" wrapText="1"/>
    </xf>
    <xf numFmtId="0" fontId="35" fillId="0" borderId="1" xfId="0" applyFont="1" applyBorder="1" applyAlignment="1">
      <alignment horizontal="left" vertical="center" wrapText="1"/>
    </xf>
    <xf numFmtId="0" fontId="35" fillId="0" borderId="1" xfId="0" applyFont="1" applyBorder="1" applyAlignment="1">
      <alignment horizontal="center" vertical="center" wrapText="1"/>
    </xf>
    <xf numFmtId="0" fontId="47" fillId="0" borderId="0" xfId="0" applyFont="1">
      <alignment vertical="center"/>
    </xf>
    <xf numFmtId="0" fontId="43" fillId="0" borderId="1" xfId="0" applyFont="1" applyBorder="1" applyAlignment="1">
      <alignment horizontal="center" vertical="center" wrapText="1"/>
    </xf>
    <xf numFmtId="0" fontId="43" fillId="0" borderId="1" xfId="0" applyFont="1" applyBorder="1" applyAlignment="1">
      <alignment horizontal="center" vertical="center" wrapText="1"/>
    </xf>
    <xf numFmtId="177" fontId="43" fillId="0" borderId="1" xfId="0" applyNumberFormat="1" applyFont="1" applyBorder="1" applyAlignment="1">
      <alignment horizontal="center" vertical="center" wrapText="1"/>
    </xf>
    <xf numFmtId="0" fontId="38" fillId="0" borderId="1" xfId="0" applyFont="1" applyBorder="1" applyAlignment="1">
      <alignment horizontal="center" vertical="center" wrapText="1"/>
    </xf>
    <xf numFmtId="0" fontId="38" fillId="0" borderId="11" xfId="0" applyFont="1" applyBorder="1" applyAlignment="1">
      <alignment horizontal="center" vertical="center" wrapText="1"/>
    </xf>
    <xf numFmtId="0" fontId="38" fillId="2" borderId="1" xfId="0" applyFont="1" applyFill="1" applyBorder="1" applyAlignment="1">
      <alignment horizontal="center" vertical="center" wrapText="1"/>
    </xf>
    <xf numFmtId="0" fontId="38" fillId="0" borderId="0" xfId="0" applyFont="1" applyAlignment="1">
      <alignment horizontal="center" vertical="center" wrapText="1"/>
    </xf>
    <xf numFmtId="0" fontId="48" fillId="0" borderId="0" xfId="0" applyFont="1" applyAlignment="1">
      <alignment horizontal="center" vertical="center"/>
    </xf>
    <xf numFmtId="0" fontId="49" fillId="0" borderId="1" xfId="0" applyFont="1" applyBorder="1" applyAlignment="1">
      <alignment horizontal="center" vertical="center" wrapText="1"/>
    </xf>
    <xf numFmtId="0" fontId="49" fillId="0" borderId="1" xfId="0" applyFont="1" applyBorder="1" applyAlignment="1">
      <alignment horizontal="left" vertical="center" wrapText="1"/>
    </xf>
    <xf numFmtId="31" fontId="49" fillId="0" borderId="1" xfId="0" applyNumberFormat="1" applyFont="1" applyBorder="1" applyAlignment="1">
      <alignment horizontal="left" vertical="center" wrapText="1"/>
    </xf>
    <xf numFmtId="0" fontId="49" fillId="0" borderId="11" xfId="0" applyFont="1" applyBorder="1" applyAlignment="1">
      <alignment horizontal="left" vertical="center" wrapText="1"/>
    </xf>
    <xf numFmtId="0" fontId="42" fillId="0" borderId="0" xfId="0" applyFont="1" applyAlignment="1">
      <alignment horizontal="center" vertical="center"/>
    </xf>
    <xf numFmtId="0" fontId="50" fillId="0" borderId="1" xfId="0" applyFont="1" applyBorder="1" applyAlignment="1">
      <alignment horizontal="left" vertical="center" wrapText="1"/>
    </xf>
    <xf numFmtId="0" fontId="51" fillId="0" borderId="1" xfId="0" applyFont="1" applyBorder="1" applyAlignment="1">
      <alignment horizontal="left" vertical="center" wrapText="1"/>
    </xf>
    <xf numFmtId="31" fontId="50" fillId="0" borderId="1" xfId="0" applyNumberFormat="1" applyFont="1" applyBorder="1" applyAlignment="1">
      <alignment horizontal="left" vertical="center" wrapText="1"/>
    </xf>
    <xf numFmtId="0" fontId="50" fillId="0" borderId="11" xfId="0" applyFont="1" applyBorder="1" applyAlignment="1">
      <alignment horizontal="left" vertical="center" wrapText="1"/>
    </xf>
    <xf numFmtId="0" fontId="40" fillId="0" borderId="0" xfId="0" applyFont="1" applyAlignment="1">
      <alignment horizontal="center" vertical="center"/>
    </xf>
    <xf numFmtId="0" fontId="39" fillId="0" borderId="0" xfId="0" applyFont="1" applyAlignment="1">
      <alignment horizontal="center" vertical="center"/>
    </xf>
    <xf numFmtId="0" fontId="39" fillId="0" borderId="0" xfId="0" applyFont="1" applyAlignment="1">
      <alignment horizontal="center" vertical="center" wrapText="1"/>
    </xf>
    <xf numFmtId="0" fontId="39" fillId="0" borderId="10" xfId="0" applyFont="1" applyBorder="1" applyAlignment="1">
      <alignment horizontal="center" vertical="center" wrapText="1"/>
    </xf>
    <xf numFmtId="0" fontId="39" fillId="0" borderId="1" xfId="0" applyFont="1" applyBorder="1" applyAlignment="1">
      <alignment horizontal="center" vertical="center" wrapText="1"/>
    </xf>
    <xf numFmtId="0" fontId="52" fillId="0" borderId="1" xfId="0" applyFont="1" applyBorder="1" applyAlignment="1">
      <alignment horizontal="left" vertical="center" wrapText="1"/>
    </xf>
    <xf numFmtId="0" fontId="44" fillId="0" borderId="1" xfId="0" applyFont="1" applyBorder="1" applyAlignment="1">
      <alignment horizontal="left" vertical="center" wrapText="1"/>
    </xf>
    <xf numFmtId="0" fontId="58" fillId="0" borderId="0" xfId="0" applyFont="1" applyAlignment="1">
      <alignment horizontal="center" vertical="center"/>
    </xf>
    <xf numFmtId="0" fontId="40" fillId="0" borderId="0" xfId="0" applyFont="1" applyAlignment="1">
      <alignment horizontal="center" vertical="center" wrapText="1"/>
    </xf>
    <xf numFmtId="57" fontId="49" fillId="0" borderId="1" xfId="0" applyNumberFormat="1" applyFont="1" applyBorder="1" applyAlignment="1">
      <alignment horizontal="left" vertical="center"/>
    </xf>
    <xf numFmtId="0" fontId="42" fillId="0" borderId="0" xfId="0" applyFont="1" applyAlignment="1">
      <alignment horizontal="center" vertical="center" wrapText="1"/>
    </xf>
    <xf numFmtId="0" fontId="41" fillId="0" borderId="0" xfId="0" applyFont="1" applyAlignment="1">
      <alignment horizontal="center" vertical="center"/>
    </xf>
    <xf numFmtId="0" fontId="41" fillId="0" borderId="0" xfId="0" applyFont="1" applyAlignment="1">
      <alignment horizontal="center" vertical="center" wrapText="1"/>
    </xf>
    <xf numFmtId="0" fontId="0" fillId="0" borderId="4" xfId="0" applyBorder="1" applyAlignment="1">
      <alignment horizontal="left" vertical="center" wrapText="1"/>
    </xf>
    <xf numFmtId="0" fontId="50" fillId="0" borderId="5" xfId="0" applyFont="1" applyBorder="1" applyAlignment="1">
      <alignment horizontal="left" vertical="center" wrapText="1"/>
    </xf>
    <xf numFmtId="0" fontId="50" fillId="0" borderId="4" xfId="0" applyFont="1" applyBorder="1" applyAlignment="1">
      <alignment horizontal="left" vertical="center" wrapText="1"/>
    </xf>
    <xf numFmtId="0" fontId="49" fillId="0" borderId="5" xfId="0" applyFont="1" applyBorder="1" applyAlignment="1">
      <alignment horizontal="left" vertical="center" wrapText="1"/>
    </xf>
    <xf numFmtId="0" fontId="41" fillId="0" borderId="0" xfId="0" applyFont="1">
      <alignment vertical="center"/>
    </xf>
    <xf numFmtId="176" fontId="41" fillId="0" borderId="1" xfId="0" applyNumberFormat="1" applyFont="1" applyBorder="1" applyAlignment="1">
      <alignment horizontal="left" vertical="center"/>
    </xf>
    <xf numFmtId="0" fontId="49" fillId="0" borderId="14" xfId="0" applyFont="1" applyBorder="1" applyAlignment="1">
      <alignment horizontal="left" vertical="center" wrapText="1"/>
    </xf>
    <xf numFmtId="0" fontId="50" fillId="0" borderId="6" xfId="0" applyFont="1" applyBorder="1" applyAlignment="1">
      <alignment horizontal="left" vertical="center" wrapText="1"/>
    </xf>
    <xf numFmtId="57" fontId="50" fillId="0" borderId="6" xfId="0" applyNumberFormat="1" applyFont="1" applyBorder="1" applyAlignment="1">
      <alignment horizontal="left" vertical="center" wrapText="1"/>
    </xf>
    <xf numFmtId="0" fontId="61" fillId="0" borderId="6" xfId="0" applyFont="1" applyBorder="1" applyAlignment="1">
      <alignment horizontal="left" vertical="center" wrapText="1"/>
    </xf>
    <xf numFmtId="0" fontId="50" fillId="0" borderId="15" xfId="0" applyFont="1" applyBorder="1" applyAlignment="1">
      <alignment horizontal="left" vertical="center" wrapText="1"/>
    </xf>
    <xf numFmtId="0" fontId="0" fillId="0" borderId="7" xfId="0" applyBorder="1" applyAlignment="1">
      <alignment horizontal="left" vertical="center" wrapText="1"/>
    </xf>
    <xf numFmtId="0" fontId="62" fillId="0" borderId="1" xfId="0" applyFont="1" applyBorder="1" applyAlignment="1">
      <alignment horizontal="left" vertical="center" wrapText="1"/>
    </xf>
    <xf numFmtId="0" fontId="44" fillId="0" borderId="10" xfId="0" applyFont="1" applyBorder="1" applyAlignment="1">
      <alignment horizontal="left" vertical="center" wrapText="1"/>
    </xf>
    <xf numFmtId="0" fontId="39" fillId="2" borderId="1" xfId="0" applyFont="1" applyFill="1" applyBorder="1" applyAlignment="1">
      <alignment vertical="center" wrapText="1"/>
    </xf>
    <xf numFmtId="0" fontId="39" fillId="0" borderId="0" xfId="0" applyFont="1">
      <alignment vertical="center"/>
    </xf>
    <xf numFmtId="0" fontId="0" fillId="0" borderId="9" xfId="0" applyBorder="1" applyAlignment="1">
      <alignment horizontal="left" vertical="center" wrapText="1"/>
    </xf>
    <xf numFmtId="0" fontId="63" fillId="0" borderId="1" xfId="0" applyFont="1" applyBorder="1" applyAlignment="1">
      <alignment horizontal="left" vertical="center" wrapTex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14" fontId="49" fillId="0" borderId="1" xfId="0" applyNumberFormat="1" applyFont="1" applyBorder="1" applyAlignment="1">
      <alignment horizontal="left" vertical="center" wrapText="1"/>
    </xf>
    <xf numFmtId="0" fontId="49" fillId="0" borderId="6" xfId="0" applyFont="1" applyBorder="1" applyAlignment="1">
      <alignment horizontal="left" vertical="center" wrapText="1"/>
    </xf>
    <xf numFmtId="57" fontId="49" fillId="0" borderId="1" xfId="0" applyNumberFormat="1" applyFont="1" applyBorder="1" applyAlignment="1">
      <alignment horizontal="left" vertical="center" wrapText="1"/>
    </xf>
    <xf numFmtId="0" fontId="48" fillId="0" borderId="1" xfId="0" applyFont="1" applyBorder="1" applyAlignment="1">
      <alignment horizontal="left" vertical="center"/>
    </xf>
    <xf numFmtId="0" fontId="49" fillId="0" borderId="12" xfId="0" applyFont="1" applyBorder="1" applyAlignment="1">
      <alignment horizontal="left" vertical="center" wrapText="1"/>
    </xf>
    <xf numFmtId="0" fontId="59" fillId="0" borderId="1" xfId="0" applyFont="1" applyBorder="1" applyAlignment="1">
      <alignment horizontal="left" vertical="center" wrapText="1"/>
    </xf>
    <xf numFmtId="0" fontId="48" fillId="0" borderId="1" xfId="0" applyFont="1" applyBorder="1" applyAlignment="1">
      <alignment horizontal="left" vertical="center" wrapText="1"/>
    </xf>
    <xf numFmtId="31" fontId="59" fillId="0" borderId="1" xfId="0" applyNumberFormat="1" applyFont="1" applyBorder="1" applyAlignment="1">
      <alignment horizontal="left" vertical="center" wrapText="1"/>
    </xf>
    <xf numFmtId="0" fontId="49" fillId="0" borderId="4" xfId="0" applyFont="1" applyBorder="1" applyAlignment="1">
      <alignment horizontal="left" vertical="center" wrapText="1"/>
    </xf>
    <xf numFmtId="0" fontId="41" fillId="0" borderId="6" xfId="0" applyFont="1" applyBorder="1" applyAlignment="1">
      <alignment horizontal="left" vertical="center"/>
    </xf>
    <xf numFmtId="0" fontId="49" fillId="0" borderId="9" xfId="0" applyFont="1" applyBorder="1" applyAlignment="1">
      <alignment horizontal="left" vertical="center" wrapText="1"/>
    </xf>
    <xf numFmtId="0" fontId="0" fillId="0" borderId="8" xfId="0" applyBorder="1" applyAlignment="1">
      <alignment horizontal="left" vertical="center" wrapText="1"/>
    </xf>
    <xf numFmtId="0" fontId="49" fillId="0" borderId="10" xfId="0" applyFont="1" applyBorder="1" applyAlignment="1">
      <alignment horizontal="left" vertical="center" wrapText="1"/>
    </xf>
    <xf numFmtId="0" fontId="50" fillId="0" borderId="12" xfId="0" applyFont="1" applyBorder="1" applyAlignment="1">
      <alignment horizontal="left" vertical="center" wrapText="1"/>
    </xf>
    <xf numFmtId="14" fontId="49" fillId="0" borderId="4" xfId="0" applyNumberFormat="1" applyFont="1" applyBorder="1" applyAlignment="1">
      <alignment horizontal="left" vertical="center" wrapText="1"/>
    </xf>
    <xf numFmtId="0" fontId="59" fillId="0" borderId="5" xfId="0" applyFont="1" applyBorder="1" applyAlignment="1">
      <alignment horizontal="left" vertical="center" wrapText="1"/>
    </xf>
    <xf numFmtId="177" fontId="49" fillId="0" borderId="6" xfId="0" applyNumberFormat="1" applyFont="1" applyBorder="1" applyAlignment="1">
      <alignment horizontal="left" vertical="center" wrapText="1"/>
    </xf>
    <xf numFmtId="176" fontId="41" fillId="0" borderId="4" xfId="0" applyNumberFormat="1" applyFont="1" applyBorder="1" applyAlignment="1">
      <alignment horizontal="left" vertical="center"/>
    </xf>
    <xf numFmtId="0" fontId="60" fillId="0" borderId="1" xfId="0" applyFont="1" applyBorder="1" applyAlignment="1">
      <alignment horizontal="left" vertical="center" wrapText="1"/>
    </xf>
    <xf numFmtId="0" fontId="0" fillId="0" borderId="16" xfId="0" applyBorder="1" applyAlignment="1">
      <alignment horizontal="left" vertical="center" wrapText="1"/>
    </xf>
    <xf numFmtId="57" fontId="50" fillId="0" borderId="1" xfId="0" applyNumberFormat="1" applyFont="1" applyBorder="1" applyAlignment="1">
      <alignment horizontal="left" vertical="center" wrapText="1"/>
    </xf>
    <xf numFmtId="57" fontId="49" fillId="0" borderId="6" xfId="0" applyNumberFormat="1" applyFont="1" applyBorder="1" applyAlignment="1">
      <alignment horizontal="left" vertical="center" wrapText="1"/>
    </xf>
    <xf numFmtId="0" fontId="61" fillId="0" borderId="11" xfId="0" applyFont="1" applyBorder="1" applyAlignment="1">
      <alignment horizontal="left" vertical="center" wrapText="1"/>
    </xf>
    <xf numFmtId="0" fontId="0" fillId="0" borderId="13" xfId="0" applyBorder="1" applyAlignment="1">
      <alignment horizontal="left" vertical="center" wrapText="1"/>
    </xf>
    <xf numFmtId="0" fontId="49" fillId="0" borderId="0" xfId="0" applyFont="1" applyBorder="1" applyAlignment="1">
      <alignment horizontal="left" vertical="center" wrapText="1"/>
    </xf>
    <xf numFmtId="0" fontId="61" fillId="0" borderId="5" xfId="0" applyFont="1" applyBorder="1" applyAlignment="1">
      <alignment horizontal="left" vertical="center" wrapText="1"/>
    </xf>
    <xf numFmtId="0" fontId="61" fillId="0" borderId="1" xfId="0" applyFont="1" applyBorder="1" applyAlignment="1">
      <alignment horizontal="left" vertical="center" wrapText="1"/>
    </xf>
    <xf numFmtId="0" fontId="0" fillId="0" borderId="6" xfId="0" applyBorder="1" applyAlignment="1">
      <alignment horizontal="left" vertical="center"/>
    </xf>
    <xf numFmtId="0" fontId="49" fillId="0" borderId="15" xfId="0" applyFont="1" applyBorder="1" applyAlignment="1">
      <alignment horizontal="left" vertical="center" wrapText="1"/>
    </xf>
    <xf numFmtId="0" fontId="48" fillId="0" borderId="17" xfId="0" applyFont="1" applyBorder="1" applyAlignment="1">
      <alignment horizontal="left" vertical="center"/>
    </xf>
    <xf numFmtId="0" fontId="48" fillId="0" borderId="15" xfId="0" applyFont="1" applyBorder="1" applyAlignment="1">
      <alignment horizontal="left" vertical="center"/>
    </xf>
    <xf numFmtId="0" fontId="49" fillId="3"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13C34-7514-48F9-A0DD-832DF18E66C0}">
  <dimension ref="A1:XFB68"/>
  <sheetViews>
    <sheetView zoomScale="40" zoomScaleNormal="40" workbookViewId="0">
      <selection activeCell="E7" sqref="E7"/>
    </sheetView>
  </sheetViews>
  <sheetFormatPr defaultColWidth="9" defaultRowHeight="14.4" x14ac:dyDescent="0.25"/>
  <cols>
    <col min="1" max="1" width="9" style="20"/>
    <col min="2" max="2" width="22.6640625" style="21" customWidth="1"/>
    <col min="3" max="3" width="15.6640625" style="20" customWidth="1"/>
    <col min="4" max="4" width="34.77734375" style="20" customWidth="1"/>
    <col min="5" max="5" width="46.77734375" style="20" customWidth="1"/>
    <col min="6" max="6" width="42.33203125" style="20" customWidth="1"/>
    <col min="7" max="7" width="20.21875" style="20" customWidth="1"/>
    <col min="8" max="8" width="11.44140625" style="20" customWidth="1"/>
    <col min="9" max="9" width="18" style="20" customWidth="1"/>
    <col min="10" max="10" width="18.77734375" style="20" customWidth="1"/>
    <col min="11" max="11" width="31.5546875" style="20" customWidth="1"/>
    <col min="12" max="12" width="22.21875" style="20" customWidth="1"/>
    <col min="13" max="14" width="9" style="20"/>
    <col min="15" max="15" width="14.33203125" style="20" customWidth="1"/>
    <col min="16" max="16" width="16.6640625" style="1" customWidth="1"/>
    <col min="17" max="17" width="18" style="21" customWidth="1"/>
    <col min="18" max="19" width="9" style="20"/>
    <col min="20" max="20" width="37.44140625" style="20" customWidth="1"/>
    <col min="21" max="16382" width="9" style="20"/>
  </cols>
  <sheetData>
    <row r="1" spans="1:59" customFormat="1" ht="70.05" customHeight="1" x14ac:dyDescent="0.25">
      <c r="A1" s="143" t="s">
        <v>0</v>
      </c>
      <c r="B1" s="143"/>
      <c r="C1" s="143"/>
      <c r="D1" s="143"/>
      <c r="E1" s="143"/>
      <c r="F1" s="143"/>
      <c r="G1" s="143"/>
      <c r="H1" s="143"/>
      <c r="I1" s="143"/>
      <c r="J1" s="143"/>
      <c r="K1" s="143"/>
      <c r="L1" s="143"/>
      <c r="M1" s="143"/>
      <c r="N1" s="143"/>
      <c r="O1" s="143"/>
      <c r="P1" s="143"/>
      <c r="Q1" s="143"/>
    </row>
    <row r="2" spans="1:59" s="147" customFormat="1" ht="61.05" customHeight="1" x14ac:dyDescent="0.25">
      <c r="A2" s="144" t="s">
        <v>653</v>
      </c>
      <c r="B2" s="145"/>
      <c r="C2" s="145"/>
      <c r="D2" s="145"/>
      <c r="E2" s="145"/>
      <c r="F2" s="145"/>
      <c r="G2" s="145"/>
      <c r="H2" s="145"/>
      <c r="I2" s="145"/>
      <c r="J2" s="145"/>
      <c r="K2" s="145"/>
      <c r="L2" s="145"/>
      <c r="M2" s="145"/>
      <c r="N2" s="145"/>
      <c r="O2" s="145"/>
      <c r="P2" s="146"/>
      <c r="Q2" s="145"/>
    </row>
    <row r="3" spans="1:59" customFormat="1" ht="114" customHeight="1" x14ac:dyDescent="0.25">
      <c r="A3" s="145" t="s">
        <v>654</v>
      </c>
      <c r="B3" s="145"/>
      <c r="C3" s="145"/>
      <c r="D3" s="145"/>
      <c r="E3" s="145"/>
      <c r="F3" s="145"/>
      <c r="G3" s="145"/>
      <c r="H3" s="145"/>
      <c r="I3" s="145"/>
      <c r="J3" s="145"/>
      <c r="K3" s="145"/>
      <c r="L3" s="145"/>
      <c r="M3" s="145"/>
      <c r="N3" s="145"/>
      <c r="O3" s="145"/>
      <c r="P3" s="146"/>
      <c r="Q3" s="145"/>
    </row>
    <row r="4" spans="1:59" s="155" customFormat="1" ht="40.799999999999997" x14ac:dyDescent="0.25">
      <c r="A4" s="148" t="s">
        <v>1</v>
      </c>
      <c r="B4" s="148" t="s">
        <v>2</v>
      </c>
      <c r="C4" s="148" t="s">
        <v>3</v>
      </c>
      <c r="D4" s="148" t="s">
        <v>4</v>
      </c>
      <c r="E4" s="148" t="s">
        <v>5</v>
      </c>
      <c r="F4" s="148" t="s">
        <v>6</v>
      </c>
      <c r="G4" s="148" t="s">
        <v>7</v>
      </c>
      <c r="H4" s="149" t="s">
        <v>8</v>
      </c>
      <c r="I4" s="148" t="s">
        <v>9</v>
      </c>
      <c r="J4" s="148" t="s">
        <v>10</v>
      </c>
      <c r="K4" s="148"/>
      <c r="L4" s="150" t="s">
        <v>11</v>
      </c>
      <c r="M4" s="151" t="s">
        <v>12</v>
      </c>
      <c r="N4" s="151" t="s">
        <v>13</v>
      </c>
      <c r="O4" s="151" t="s">
        <v>14</v>
      </c>
      <c r="P4" s="152" t="s">
        <v>15</v>
      </c>
      <c r="Q4" s="153" t="s">
        <v>16</v>
      </c>
      <c r="R4" s="154"/>
    </row>
    <row r="5" spans="1:59" s="155" customFormat="1" ht="40.799999999999997" x14ac:dyDescent="0.25">
      <c r="A5" s="148"/>
      <c r="B5" s="148"/>
      <c r="C5" s="148"/>
      <c r="D5" s="148"/>
      <c r="E5" s="148"/>
      <c r="F5" s="148"/>
      <c r="G5" s="148"/>
      <c r="H5" s="149" t="s">
        <v>17</v>
      </c>
      <c r="I5" s="148"/>
      <c r="J5" s="149" t="s">
        <v>18</v>
      </c>
      <c r="K5" s="149" t="s">
        <v>19</v>
      </c>
      <c r="L5" s="150"/>
      <c r="M5" s="151"/>
      <c r="N5" s="151"/>
      <c r="O5" s="151"/>
      <c r="P5" s="152"/>
      <c r="Q5" s="153"/>
      <c r="R5" s="154"/>
    </row>
    <row r="6" spans="1:59" s="160" customFormat="1" ht="293.39999999999998" customHeight="1" x14ac:dyDescent="0.25">
      <c r="A6" s="229">
        <v>1</v>
      </c>
      <c r="B6" s="157" t="s">
        <v>85</v>
      </c>
      <c r="C6" s="157" t="s">
        <v>83</v>
      </c>
      <c r="D6" s="157" t="s">
        <v>86</v>
      </c>
      <c r="E6" s="157" t="s">
        <v>87</v>
      </c>
      <c r="F6" s="157" t="s">
        <v>662</v>
      </c>
      <c r="G6" s="157" t="s">
        <v>49</v>
      </c>
      <c r="H6" s="157">
        <v>0</v>
      </c>
      <c r="I6" s="157" t="s">
        <v>89</v>
      </c>
      <c r="J6" s="157" t="s">
        <v>90</v>
      </c>
      <c r="K6" s="157" t="s">
        <v>91</v>
      </c>
      <c r="L6" s="157" t="s">
        <v>92</v>
      </c>
      <c r="M6" s="157" t="s">
        <v>93</v>
      </c>
      <c r="N6" s="27" t="s">
        <v>30</v>
      </c>
      <c r="O6" s="159" t="s">
        <v>31</v>
      </c>
      <c r="P6" s="157" t="s">
        <v>94</v>
      </c>
      <c r="Q6" s="66">
        <v>89.888888888888886</v>
      </c>
    </row>
    <row r="7" spans="1:59" s="165" customFormat="1" ht="409.05" customHeight="1" x14ac:dyDescent="0.25">
      <c r="A7" s="229">
        <v>2</v>
      </c>
      <c r="B7" s="157" t="s">
        <v>574</v>
      </c>
      <c r="C7" s="157" t="s">
        <v>83</v>
      </c>
      <c r="D7" s="157" t="s">
        <v>575</v>
      </c>
      <c r="E7" s="157" t="s">
        <v>576</v>
      </c>
      <c r="F7" s="157" t="s">
        <v>577</v>
      </c>
      <c r="G7" s="157" t="s">
        <v>83</v>
      </c>
      <c r="H7" s="157">
        <v>0.2</v>
      </c>
      <c r="I7" s="157" t="s">
        <v>578</v>
      </c>
      <c r="J7" s="157" t="s">
        <v>579</v>
      </c>
      <c r="K7" s="157" t="s">
        <v>580</v>
      </c>
      <c r="L7" s="157" t="s">
        <v>83</v>
      </c>
      <c r="M7" s="157" t="s">
        <v>214</v>
      </c>
      <c r="N7" s="157" t="s">
        <v>30</v>
      </c>
      <c r="O7" s="101" t="s">
        <v>31</v>
      </c>
      <c r="P7" s="157" t="s">
        <v>581</v>
      </c>
      <c r="Q7" s="64">
        <v>89.25</v>
      </c>
    </row>
    <row r="8" spans="1:59" s="166" customFormat="1" ht="409.6" x14ac:dyDescent="0.25">
      <c r="A8" s="229">
        <v>3</v>
      </c>
      <c r="B8" s="157" t="s">
        <v>355</v>
      </c>
      <c r="C8" s="157" t="s">
        <v>83</v>
      </c>
      <c r="D8" s="157" t="s">
        <v>356</v>
      </c>
      <c r="E8" s="157" t="s">
        <v>357</v>
      </c>
      <c r="F8" s="157" t="s">
        <v>358</v>
      </c>
      <c r="G8" s="157" t="s">
        <v>359</v>
      </c>
      <c r="H8" s="157">
        <v>0</v>
      </c>
      <c r="I8" s="157" t="s">
        <v>360</v>
      </c>
      <c r="J8" s="157" t="s">
        <v>361</v>
      </c>
      <c r="K8" s="157" t="s">
        <v>362</v>
      </c>
      <c r="L8" s="200">
        <v>46082</v>
      </c>
      <c r="M8" s="157" t="s">
        <v>29</v>
      </c>
      <c r="N8" s="157" t="s">
        <v>30</v>
      </c>
      <c r="O8" s="159" t="s">
        <v>233</v>
      </c>
      <c r="P8" s="157" t="s">
        <v>363</v>
      </c>
      <c r="Q8" s="64">
        <v>89.125</v>
      </c>
    </row>
    <row r="9" spans="1:59" s="169" customFormat="1" ht="409.05" customHeight="1" x14ac:dyDescent="0.25">
      <c r="A9" s="229">
        <v>4</v>
      </c>
      <c r="B9" s="157" t="s">
        <v>338</v>
      </c>
      <c r="C9" s="157" t="s">
        <v>83</v>
      </c>
      <c r="D9" s="157" t="s">
        <v>694</v>
      </c>
      <c r="E9" s="157" t="s">
        <v>695</v>
      </c>
      <c r="F9" s="157" t="s">
        <v>696</v>
      </c>
      <c r="G9" s="161" t="s">
        <v>342</v>
      </c>
      <c r="H9" s="157">
        <v>0</v>
      </c>
      <c r="I9" s="157" t="s">
        <v>343</v>
      </c>
      <c r="J9" s="157" t="s">
        <v>61</v>
      </c>
      <c r="K9" s="157" t="s">
        <v>697</v>
      </c>
      <c r="L9" s="157" t="s">
        <v>83</v>
      </c>
      <c r="M9" s="157" t="s">
        <v>29</v>
      </c>
      <c r="N9" s="157" t="s">
        <v>30</v>
      </c>
      <c r="O9" s="159" t="s">
        <v>31</v>
      </c>
      <c r="P9" s="157" t="s">
        <v>345</v>
      </c>
      <c r="Q9" s="69">
        <v>88.75</v>
      </c>
      <c r="R9" s="167"/>
      <c r="S9" s="167"/>
      <c r="T9" s="167"/>
      <c r="U9" s="167"/>
      <c r="V9" s="167"/>
      <c r="W9" s="167"/>
      <c r="X9" s="167"/>
      <c r="Y9" s="167"/>
      <c r="Z9" s="167"/>
      <c r="AA9" s="167"/>
      <c r="AB9" s="167"/>
      <c r="AC9" s="167"/>
      <c r="AD9" s="167"/>
      <c r="AE9" s="167"/>
      <c r="AF9" s="167"/>
      <c r="AG9" s="167"/>
      <c r="AH9" s="167"/>
      <c r="AI9" s="167"/>
      <c r="AJ9" s="167"/>
      <c r="AK9" s="167"/>
      <c r="AL9" s="167"/>
      <c r="AM9" s="167"/>
      <c r="AN9" s="167"/>
      <c r="AO9" s="167"/>
      <c r="AP9" s="167"/>
      <c r="AQ9" s="167"/>
      <c r="AR9" s="167"/>
      <c r="AS9" s="167"/>
      <c r="AT9" s="167"/>
      <c r="AU9" s="167"/>
      <c r="AV9" s="167"/>
      <c r="AW9" s="167"/>
      <c r="AX9" s="167"/>
      <c r="AY9" s="167"/>
      <c r="AZ9" s="167"/>
      <c r="BA9" s="167"/>
      <c r="BB9" s="167"/>
      <c r="BC9" s="167"/>
      <c r="BD9" s="167"/>
      <c r="BE9" s="167"/>
      <c r="BF9" s="167"/>
      <c r="BG9" s="168"/>
    </row>
    <row r="10" spans="1:59" s="160" customFormat="1" ht="313.2" customHeight="1" x14ac:dyDescent="0.25">
      <c r="A10" s="229">
        <v>5</v>
      </c>
      <c r="B10" s="157" t="s">
        <v>434</v>
      </c>
      <c r="C10" s="157" t="s">
        <v>435</v>
      </c>
      <c r="D10" s="157" t="s">
        <v>700</v>
      </c>
      <c r="E10" s="157" t="s">
        <v>701</v>
      </c>
      <c r="F10" s="157" t="s">
        <v>702</v>
      </c>
      <c r="G10" s="157" t="s">
        <v>439</v>
      </c>
      <c r="H10" s="157">
        <v>0</v>
      </c>
      <c r="I10" s="157" t="s">
        <v>440</v>
      </c>
      <c r="J10" s="157" t="s">
        <v>441</v>
      </c>
      <c r="K10" s="157" t="s">
        <v>442</v>
      </c>
      <c r="L10" s="158">
        <v>46386</v>
      </c>
      <c r="M10" s="157" t="s">
        <v>29</v>
      </c>
      <c r="N10" s="157" t="s">
        <v>30</v>
      </c>
      <c r="O10" s="159" t="s">
        <v>254</v>
      </c>
      <c r="P10" s="157" t="s">
        <v>443</v>
      </c>
      <c r="Q10" s="64">
        <v>88</v>
      </c>
    </row>
    <row r="11" spans="1:59" s="160" customFormat="1" ht="244.8" x14ac:dyDescent="0.25">
      <c r="A11" s="229">
        <v>6</v>
      </c>
      <c r="B11" s="157" t="s">
        <v>444</v>
      </c>
      <c r="C11" s="157" t="s">
        <v>445</v>
      </c>
      <c r="D11" s="157" t="s">
        <v>446</v>
      </c>
      <c r="E11" s="157" t="s">
        <v>703</v>
      </c>
      <c r="F11" s="157" t="s">
        <v>704</v>
      </c>
      <c r="G11" s="157" t="s">
        <v>449</v>
      </c>
      <c r="H11" s="157">
        <v>0</v>
      </c>
      <c r="I11" s="157" t="s">
        <v>450</v>
      </c>
      <c r="J11" s="157" t="s">
        <v>705</v>
      </c>
      <c r="K11" s="157" t="s">
        <v>706</v>
      </c>
      <c r="L11" s="158">
        <v>46295</v>
      </c>
      <c r="M11" s="157" t="s">
        <v>29</v>
      </c>
      <c r="N11" s="157" t="s">
        <v>30</v>
      </c>
      <c r="O11" s="159" t="s">
        <v>453</v>
      </c>
      <c r="P11" s="157" t="s">
        <v>454</v>
      </c>
      <c r="Q11" s="64">
        <v>87.875</v>
      </c>
    </row>
    <row r="12" spans="1:59" s="172" customFormat="1" ht="409.6" x14ac:dyDescent="0.25">
      <c r="A12" s="229">
        <v>7</v>
      </c>
      <c r="B12" s="157" t="s">
        <v>415</v>
      </c>
      <c r="C12" s="157" t="s">
        <v>416</v>
      </c>
      <c r="D12" s="157" t="s">
        <v>417</v>
      </c>
      <c r="E12" s="157" t="s">
        <v>418</v>
      </c>
      <c r="F12" s="157" t="s">
        <v>419</v>
      </c>
      <c r="G12" s="157" t="s">
        <v>83</v>
      </c>
      <c r="H12" s="157">
        <v>0</v>
      </c>
      <c r="I12" s="157" t="s">
        <v>420</v>
      </c>
      <c r="J12" s="157" t="s">
        <v>421</v>
      </c>
      <c r="K12" s="157" t="s">
        <v>422</v>
      </c>
      <c r="L12" s="158">
        <v>46038</v>
      </c>
      <c r="M12" s="157" t="s">
        <v>29</v>
      </c>
      <c r="N12" s="157" t="s">
        <v>30</v>
      </c>
      <c r="O12" s="159" t="s">
        <v>42</v>
      </c>
      <c r="P12" s="157" t="s">
        <v>423</v>
      </c>
      <c r="Q12" s="64">
        <v>87.625</v>
      </c>
    </row>
    <row r="13" spans="1:59" s="173" customFormat="1" ht="403.2" x14ac:dyDescent="0.25">
      <c r="A13" s="229">
        <v>8</v>
      </c>
      <c r="B13" s="157" t="s">
        <v>383</v>
      </c>
      <c r="C13" s="157" t="s">
        <v>83</v>
      </c>
      <c r="D13" s="157" t="s">
        <v>384</v>
      </c>
      <c r="E13" s="157" t="s">
        <v>385</v>
      </c>
      <c r="F13" s="157" t="s">
        <v>386</v>
      </c>
      <c r="G13" s="157" t="s">
        <v>359</v>
      </c>
      <c r="H13" s="157">
        <v>0</v>
      </c>
      <c r="I13" s="157" t="s">
        <v>387</v>
      </c>
      <c r="J13" s="157" t="s">
        <v>388</v>
      </c>
      <c r="K13" s="157" t="s">
        <v>389</v>
      </c>
      <c r="L13" s="200">
        <v>46082</v>
      </c>
      <c r="M13" s="157" t="s">
        <v>29</v>
      </c>
      <c r="N13" s="157" t="s">
        <v>30</v>
      </c>
      <c r="O13" s="159" t="s">
        <v>31</v>
      </c>
      <c r="P13" s="157" t="s">
        <v>390</v>
      </c>
      <c r="Q13" s="64">
        <v>87.375</v>
      </c>
    </row>
    <row r="14" spans="1:59" s="175" customFormat="1" ht="409.6" x14ac:dyDescent="0.25">
      <c r="A14" s="229">
        <v>9</v>
      </c>
      <c r="B14" s="157" t="s">
        <v>391</v>
      </c>
      <c r="C14" s="157" t="s">
        <v>83</v>
      </c>
      <c r="D14" s="157" t="s">
        <v>392</v>
      </c>
      <c r="E14" s="157" t="s">
        <v>393</v>
      </c>
      <c r="F14" s="157" t="s">
        <v>394</v>
      </c>
      <c r="G14" s="157" t="s">
        <v>359</v>
      </c>
      <c r="H14" s="157">
        <v>0</v>
      </c>
      <c r="I14" s="157" t="s">
        <v>395</v>
      </c>
      <c r="J14" s="157" t="s">
        <v>396</v>
      </c>
      <c r="K14" s="157" t="s">
        <v>397</v>
      </c>
      <c r="L14" s="200">
        <v>46082</v>
      </c>
      <c r="M14" s="157" t="s">
        <v>29</v>
      </c>
      <c r="N14" s="157" t="s">
        <v>30</v>
      </c>
      <c r="O14" s="159" t="s">
        <v>63</v>
      </c>
      <c r="P14" s="157" t="s">
        <v>398</v>
      </c>
      <c r="Q14" s="64">
        <v>87.375</v>
      </c>
    </row>
    <row r="15" spans="1:59" s="176" customFormat="1" ht="376.95" customHeight="1" x14ac:dyDescent="0.25">
      <c r="A15" s="229">
        <v>10</v>
      </c>
      <c r="B15" s="157" t="s">
        <v>491</v>
      </c>
      <c r="C15" s="157" t="s">
        <v>66</v>
      </c>
      <c r="D15" s="157" t="s">
        <v>492</v>
      </c>
      <c r="E15" s="157" t="s">
        <v>711</v>
      </c>
      <c r="F15" s="157" t="s">
        <v>712</v>
      </c>
      <c r="G15" s="157" t="s">
        <v>495</v>
      </c>
      <c r="H15" s="157">
        <v>0</v>
      </c>
      <c r="I15" s="157" t="s">
        <v>495</v>
      </c>
      <c r="J15" s="157" t="s">
        <v>496</v>
      </c>
      <c r="K15" s="157" t="s">
        <v>497</v>
      </c>
      <c r="L15" s="158">
        <v>46265</v>
      </c>
      <c r="M15" s="157" t="s">
        <v>29</v>
      </c>
      <c r="N15" s="157" t="s">
        <v>30</v>
      </c>
      <c r="O15" s="159" t="s">
        <v>498</v>
      </c>
      <c r="P15" s="157" t="s">
        <v>499</v>
      </c>
      <c r="Q15" s="64">
        <v>87.25</v>
      </c>
      <c r="T15" s="177"/>
    </row>
    <row r="16" spans="1:59" s="182" customFormat="1" ht="409.05" customHeight="1" x14ac:dyDescent="0.25">
      <c r="A16" s="229">
        <v>11</v>
      </c>
      <c r="B16" s="206" t="s">
        <v>235</v>
      </c>
      <c r="C16" s="181" t="s">
        <v>207</v>
      </c>
      <c r="D16" s="206" t="s">
        <v>236</v>
      </c>
      <c r="E16" s="206" t="s">
        <v>681</v>
      </c>
      <c r="F16" s="206" t="s">
        <v>238</v>
      </c>
      <c r="G16" s="212">
        <v>46204</v>
      </c>
      <c r="H16" s="206">
        <v>0</v>
      </c>
      <c r="I16" s="206" t="s">
        <v>239</v>
      </c>
      <c r="J16" s="206" t="s">
        <v>240</v>
      </c>
      <c r="K16" s="206" t="s">
        <v>241</v>
      </c>
      <c r="L16" s="52">
        <v>46204</v>
      </c>
      <c r="M16" s="181" t="s">
        <v>242</v>
      </c>
      <c r="N16" s="157" t="s">
        <v>243</v>
      </c>
      <c r="O16" s="159" t="s">
        <v>113</v>
      </c>
      <c r="P16" s="157" t="s">
        <v>244</v>
      </c>
      <c r="Q16" s="192">
        <v>87.125</v>
      </c>
    </row>
    <row r="17" spans="1:126" s="165" customFormat="1" ht="409.6" x14ac:dyDescent="0.25">
      <c r="A17" s="229">
        <v>12</v>
      </c>
      <c r="B17" s="157" t="s">
        <v>374</v>
      </c>
      <c r="C17" s="157" t="s">
        <v>83</v>
      </c>
      <c r="D17" s="157" t="s">
        <v>375</v>
      </c>
      <c r="E17" s="157" t="s">
        <v>376</v>
      </c>
      <c r="F17" s="157" t="s">
        <v>377</v>
      </c>
      <c r="G17" s="157" t="s">
        <v>359</v>
      </c>
      <c r="H17" s="157">
        <v>0</v>
      </c>
      <c r="I17" s="157" t="s">
        <v>378</v>
      </c>
      <c r="J17" s="157" t="s">
        <v>379</v>
      </c>
      <c r="K17" s="157" t="s">
        <v>380</v>
      </c>
      <c r="L17" s="157" t="s">
        <v>92</v>
      </c>
      <c r="M17" s="157" t="s">
        <v>29</v>
      </c>
      <c r="N17" s="157" t="s">
        <v>30</v>
      </c>
      <c r="O17" s="159" t="s">
        <v>381</v>
      </c>
      <c r="P17" s="157" t="s">
        <v>382</v>
      </c>
      <c r="Q17" s="64">
        <v>87.125</v>
      </c>
    </row>
    <row r="18" spans="1:126" s="167" customFormat="1" ht="230.4" x14ac:dyDescent="0.25">
      <c r="A18" s="229">
        <v>13</v>
      </c>
      <c r="B18" s="157" t="s">
        <v>245</v>
      </c>
      <c r="C18" s="157" t="s">
        <v>207</v>
      </c>
      <c r="D18" s="157" t="s">
        <v>246</v>
      </c>
      <c r="E18" s="157" t="s">
        <v>247</v>
      </c>
      <c r="F18" s="157" t="s">
        <v>248</v>
      </c>
      <c r="G18" s="198">
        <v>46204</v>
      </c>
      <c r="H18" s="157">
        <v>0</v>
      </c>
      <c r="I18" s="157" t="s">
        <v>249</v>
      </c>
      <c r="J18" s="157" t="s">
        <v>250</v>
      </c>
      <c r="K18" s="157" t="s">
        <v>251</v>
      </c>
      <c r="L18" s="52">
        <v>46204</v>
      </c>
      <c r="M18" s="157" t="s">
        <v>252</v>
      </c>
      <c r="N18" s="157" t="s">
        <v>253</v>
      </c>
      <c r="O18" s="159" t="s">
        <v>254</v>
      </c>
      <c r="P18" s="157" t="s">
        <v>255</v>
      </c>
      <c r="Q18" s="192">
        <v>87</v>
      </c>
    </row>
    <row r="19" spans="1:126" s="176" customFormat="1" ht="405" customHeight="1" x14ac:dyDescent="0.25">
      <c r="A19" s="229">
        <v>14</v>
      </c>
      <c r="B19" s="161" t="s">
        <v>75</v>
      </c>
      <c r="C19" s="161" t="s">
        <v>66</v>
      </c>
      <c r="D19" s="161" t="s">
        <v>76</v>
      </c>
      <c r="E19" s="170" t="s">
        <v>659</v>
      </c>
      <c r="F19" s="170" t="s">
        <v>660</v>
      </c>
      <c r="G19" s="27" t="s">
        <v>79</v>
      </c>
      <c r="H19" s="28">
        <v>0</v>
      </c>
      <c r="I19" s="27" t="s">
        <v>80</v>
      </c>
      <c r="J19" s="27" t="s">
        <v>81</v>
      </c>
      <c r="K19" s="171" t="s">
        <v>661</v>
      </c>
      <c r="L19" s="28" t="s">
        <v>83</v>
      </c>
      <c r="M19" s="221" t="s">
        <v>29</v>
      </c>
      <c r="N19" s="27" t="s">
        <v>30</v>
      </c>
      <c r="O19" s="184" t="s">
        <v>63</v>
      </c>
      <c r="P19" s="28" t="s">
        <v>84</v>
      </c>
      <c r="Q19" s="66">
        <v>86.888888888888886</v>
      </c>
    </row>
    <row r="20" spans="1:126" s="160" customFormat="1" ht="304.05" customHeight="1" x14ac:dyDescent="0.25">
      <c r="A20" s="229">
        <v>15</v>
      </c>
      <c r="B20" s="199" t="s">
        <v>294</v>
      </c>
      <c r="C20" s="199" t="s">
        <v>285</v>
      </c>
      <c r="D20" s="199" t="s">
        <v>295</v>
      </c>
      <c r="E20" s="199" t="s">
        <v>296</v>
      </c>
      <c r="F20" s="199" t="s">
        <v>297</v>
      </c>
      <c r="G20" s="199" t="s">
        <v>49</v>
      </c>
      <c r="H20" s="199">
        <v>0</v>
      </c>
      <c r="I20" s="199" t="s">
        <v>298</v>
      </c>
      <c r="J20" s="199" t="s">
        <v>299</v>
      </c>
      <c r="K20" s="199" t="s">
        <v>300</v>
      </c>
      <c r="L20" s="93">
        <v>46203</v>
      </c>
      <c r="M20" s="199" t="s">
        <v>29</v>
      </c>
      <c r="N20" s="199" t="s">
        <v>30</v>
      </c>
      <c r="O20" s="226" t="s">
        <v>282</v>
      </c>
      <c r="P20" s="157" t="s">
        <v>301</v>
      </c>
      <c r="Q20" s="192">
        <v>86.875</v>
      </c>
      <c r="R20" s="167"/>
      <c r="S20" s="167"/>
      <c r="T20" s="167"/>
      <c r="U20" s="167"/>
      <c r="V20" s="167"/>
      <c r="W20" s="167"/>
      <c r="X20" s="167"/>
      <c r="Y20" s="167"/>
      <c r="Z20" s="167"/>
      <c r="AA20" s="167"/>
      <c r="AB20" s="167"/>
      <c r="AC20" s="168"/>
      <c r="AD20" s="169"/>
      <c r="AE20" s="169"/>
      <c r="AF20" s="169"/>
      <c r="AG20" s="169"/>
      <c r="AH20" s="169"/>
      <c r="AI20" s="169"/>
      <c r="AJ20" s="169"/>
      <c r="AK20" s="169"/>
      <c r="AL20" s="169"/>
      <c r="AM20" s="169"/>
      <c r="AN20" s="169"/>
      <c r="AO20" s="169"/>
      <c r="AP20" s="169"/>
      <c r="AQ20" s="169"/>
      <c r="AR20" s="169"/>
      <c r="AS20" s="169"/>
      <c r="AT20" s="169"/>
      <c r="AU20" s="169"/>
      <c r="AV20" s="169"/>
      <c r="AW20" s="169"/>
      <c r="AX20" s="169"/>
      <c r="AY20" s="169"/>
      <c r="AZ20" s="169"/>
      <c r="BA20" s="169"/>
      <c r="BB20" s="169"/>
      <c r="BC20" s="169"/>
      <c r="BD20" s="169"/>
      <c r="BE20" s="169"/>
      <c r="BF20" s="169"/>
      <c r="BG20" s="169"/>
      <c r="BH20" s="169"/>
      <c r="BI20" s="169"/>
      <c r="BJ20" s="169"/>
      <c r="BK20" s="169"/>
      <c r="BL20" s="169"/>
      <c r="BM20" s="169"/>
      <c r="BN20" s="169"/>
      <c r="BO20" s="169"/>
      <c r="BP20" s="169"/>
      <c r="BQ20" s="169"/>
      <c r="BR20" s="169"/>
      <c r="BS20" s="169"/>
      <c r="BT20" s="169"/>
      <c r="BU20" s="169"/>
      <c r="BV20" s="169"/>
      <c r="BW20" s="169"/>
      <c r="BX20" s="169"/>
      <c r="BY20" s="169"/>
      <c r="BZ20" s="169"/>
      <c r="CA20" s="169"/>
      <c r="CB20" s="169"/>
      <c r="CC20" s="169"/>
      <c r="CD20" s="169"/>
      <c r="CE20" s="169"/>
      <c r="CF20" s="169"/>
      <c r="CG20" s="169"/>
      <c r="CH20" s="169"/>
      <c r="CI20" s="169"/>
      <c r="CJ20" s="169"/>
      <c r="CK20" s="169"/>
      <c r="CL20" s="169"/>
      <c r="CM20" s="169"/>
      <c r="CN20" s="169"/>
      <c r="CO20" s="169"/>
      <c r="CP20" s="169"/>
      <c r="CQ20" s="169"/>
      <c r="CR20" s="169"/>
      <c r="CS20" s="169"/>
      <c r="CT20" s="169"/>
      <c r="CU20" s="169"/>
      <c r="CV20" s="169"/>
      <c r="CW20" s="169"/>
      <c r="CX20" s="169"/>
      <c r="CY20" s="169"/>
      <c r="CZ20" s="169"/>
      <c r="DA20" s="169"/>
      <c r="DB20" s="169"/>
      <c r="DC20" s="169"/>
      <c r="DD20" s="169"/>
      <c r="DE20" s="169"/>
      <c r="DF20" s="169"/>
      <c r="DG20" s="169"/>
      <c r="DH20" s="169"/>
      <c r="DI20" s="169"/>
      <c r="DJ20" s="169"/>
      <c r="DK20" s="169"/>
      <c r="DL20" s="169"/>
      <c r="DM20" s="169"/>
      <c r="DN20" s="169"/>
      <c r="DO20" s="169"/>
      <c r="DP20" s="169"/>
      <c r="DQ20" s="169"/>
      <c r="DR20" s="169"/>
      <c r="DS20" s="169"/>
      <c r="DT20" s="169"/>
      <c r="DU20" s="169"/>
      <c r="DV20" s="169"/>
    </row>
    <row r="21" spans="1:126" s="172" customFormat="1" ht="367.95" customHeight="1" x14ac:dyDescent="0.25">
      <c r="A21" s="229">
        <v>16</v>
      </c>
      <c r="B21" s="199" t="s">
        <v>150</v>
      </c>
      <c r="C21" s="207" t="s">
        <v>151</v>
      </c>
      <c r="D21" s="189" t="s">
        <v>152</v>
      </c>
      <c r="E21" s="209" t="s">
        <v>153</v>
      </c>
      <c r="F21" s="178" t="s">
        <v>663</v>
      </c>
      <c r="G21" s="178" t="s">
        <v>49</v>
      </c>
      <c r="H21" s="215">
        <v>0</v>
      </c>
      <c r="I21" s="178" t="s">
        <v>155</v>
      </c>
      <c r="J21" s="217" t="s">
        <v>156</v>
      </c>
      <c r="K21" s="217" t="s">
        <v>157</v>
      </c>
      <c r="L21" s="199" t="s">
        <v>92</v>
      </c>
      <c r="M21" s="199" t="s">
        <v>664</v>
      </c>
      <c r="N21" s="225" t="s">
        <v>30</v>
      </c>
      <c r="O21" s="226" t="s">
        <v>159</v>
      </c>
      <c r="P21" s="28" t="s">
        <v>160</v>
      </c>
      <c r="Q21" s="69">
        <v>86.666666666666671</v>
      </c>
      <c r="R21" s="167"/>
      <c r="S21" s="167"/>
      <c r="T21" s="167"/>
    </row>
    <row r="22" spans="1:126" s="193" customFormat="1" ht="409.6" x14ac:dyDescent="0.25">
      <c r="A22" s="229">
        <v>17</v>
      </c>
      <c r="B22" s="185" t="s">
        <v>196</v>
      </c>
      <c r="C22" s="185" t="s">
        <v>34</v>
      </c>
      <c r="D22" s="194" t="s">
        <v>197</v>
      </c>
      <c r="E22" s="27" t="s">
        <v>198</v>
      </c>
      <c r="F22" s="191" t="s">
        <v>677</v>
      </c>
      <c r="G22" s="180" t="s">
        <v>165</v>
      </c>
      <c r="H22" s="28">
        <v>740.1</v>
      </c>
      <c r="I22" s="171" t="s">
        <v>678</v>
      </c>
      <c r="J22" s="27" t="s">
        <v>679</v>
      </c>
      <c r="K22" s="171" t="s">
        <v>680</v>
      </c>
      <c r="L22" s="186">
        <v>46360</v>
      </c>
      <c r="M22" s="187" t="s">
        <v>203</v>
      </c>
      <c r="N22" s="187" t="s">
        <v>204</v>
      </c>
      <c r="O22" s="188" t="s">
        <v>42</v>
      </c>
      <c r="P22" s="157" t="s">
        <v>205</v>
      </c>
      <c r="Q22" s="192">
        <v>86.666666666666671</v>
      </c>
    </row>
    <row r="23" spans="1:126" s="193" customFormat="1" ht="409.6" x14ac:dyDescent="0.25">
      <c r="A23" s="229">
        <v>18</v>
      </c>
      <c r="B23" s="199" t="s">
        <v>323</v>
      </c>
      <c r="C23" s="199" t="s">
        <v>34</v>
      </c>
      <c r="D23" s="208" t="s">
        <v>688</v>
      </c>
      <c r="E23" s="157" t="s">
        <v>689</v>
      </c>
      <c r="F23" s="210" t="s">
        <v>690</v>
      </c>
      <c r="G23" s="180" t="s">
        <v>99</v>
      </c>
      <c r="H23" s="157">
        <v>0</v>
      </c>
      <c r="I23" s="157" t="s">
        <v>327</v>
      </c>
      <c r="J23" s="157" t="s">
        <v>328</v>
      </c>
      <c r="K23" s="157" t="s">
        <v>691</v>
      </c>
      <c r="L23" s="219">
        <v>46360</v>
      </c>
      <c r="M23" s="199" t="s">
        <v>29</v>
      </c>
      <c r="N23" s="199" t="s">
        <v>30</v>
      </c>
      <c r="O23" s="228" t="s">
        <v>63</v>
      </c>
      <c r="P23" s="157" t="s">
        <v>330</v>
      </c>
      <c r="Q23" s="69">
        <v>86.5</v>
      </c>
    </row>
    <row r="24" spans="1:126" s="193" customFormat="1" ht="409.6" x14ac:dyDescent="0.25">
      <c r="A24" s="229">
        <v>19</v>
      </c>
      <c r="B24" s="199" t="s">
        <v>364</v>
      </c>
      <c r="C24" s="199" t="s">
        <v>83</v>
      </c>
      <c r="D24" s="208" t="s">
        <v>365</v>
      </c>
      <c r="E24" s="157" t="s">
        <v>366</v>
      </c>
      <c r="F24" s="157" t="s">
        <v>367</v>
      </c>
      <c r="G24" s="206" t="s">
        <v>359</v>
      </c>
      <c r="H24" s="157">
        <v>0</v>
      </c>
      <c r="I24" s="157" t="s">
        <v>368</v>
      </c>
      <c r="J24" s="157" t="s">
        <v>369</v>
      </c>
      <c r="K24" s="157" t="s">
        <v>370</v>
      </c>
      <c r="L24" s="199" t="s">
        <v>92</v>
      </c>
      <c r="M24" s="199" t="s">
        <v>242</v>
      </c>
      <c r="N24" s="199" t="s">
        <v>371</v>
      </c>
      <c r="O24" s="226" t="s">
        <v>372</v>
      </c>
      <c r="P24" s="157" t="s">
        <v>373</v>
      </c>
      <c r="Q24" s="64">
        <v>86.5</v>
      </c>
    </row>
    <row r="25" spans="1:126" s="193" customFormat="1" ht="330" customHeight="1" x14ac:dyDescent="0.25">
      <c r="A25" s="229">
        <v>20</v>
      </c>
      <c r="B25" s="157" t="s">
        <v>455</v>
      </c>
      <c r="C25" s="157" t="s">
        <v>66</v>
      </c>
      <c r="D25" s="157" t="s">
        <v>456</v>
      </c>
      <c r="E25" s="157" t="s">
        <v>707</v>
      </c>
      <c r="F25" s="157" t="s">
        <v>458</v>
      </c>
      <c r="G25" s="157" t="s">
        <v>459</v>
      </c>
      <c r="H25" s="157">
        <v>0</v>
      </c>
      <c r="I25" s="157" t="s">
        <v>460</v>
      </c>
      <c r="J25" s="203" t="s">
        <v>461</v>
      </c>
      <c r="K25" s="203" t="s">
        <v>462</v>
      </c>
      <c r="L25" s="158">
        <v>46295</v>
      </c>
      <c r="M25" s="157" t="s">
        <v>29</v>
      </c>
      <c r="N25" s="157" t="s">
        <v>30</v>
      </c>
      <c r="O25" s="159" t="s">
        <v>31</v>
      </c>
      <c r="P25" s="157" t="s">
        <v>463</v>
      </c>
      <c r="Q25" s="64">
        <v>86.5</v>
      </c>
    </row>
    <row r="26" spans="1:126" s="193" customFormat="1" ht="265.05" customHeight="1" x14ac:dyDescent="0.25">
      <c r="A26" s="229">
        <v>21</v>
      </c>
      <c r="B26" s="157" t="s">
        <v>20</v>
      </c>
      <c r="C26" s="157" t="s">
        <v>21</v>
      </c>
      <c r="D26" s="157" t="s">
        <v>22</v>
      </c>
      <c r="E26" s="157" t="s">
        <v>23</v>
      </c>
      <c r="F26" s="157" t="s">
        <v>24</v>
      </c>
      <c r="G26" s="157" t="s">
        <v>25</v>
      </c>
      <c r="H26" s="157">
        <v>0</v>
      </c>
      <c r="I26" s="157" t="s">
        <v>26</v>
      </c>
      <c r="J26" s="157" t="s">
        <v>27</v>
      </c>
      <c r="K26" s="157" t="s">
        <v>28</v>
      </c>
      <c r="L26" s="158">
        <v>46356</v>
      </c>
      <c r="M26" s="157" t="s">
        <v>29</v>
      </c>
      <c r="N26" s="157" t="s">
        <v>30</v>
      </c>
      <c r="O26" s="159" t="s">
        <v>31</v>
      </c>
      <c r="P26" s="157" t="s">
        <v>32</v>
      </c>
      <c r="Q26" s="66">
        <v>86.333333333333329</v>
      </c>
    </row>
    <row r="27" spans="1:126" s="193" customFormat="1" ht="315" customHeight="1" x14ac:dyDescent="0.25">
      <c r="A27" s="229">
        <v>22</v>
      </c>
      <c r="B27" s="157" t="s">
        <v>407</v>
      </c>
      <c r="C27" s="157" t="s">
        <v>83</v>
      </c>
      <c r="D27" s="157" t="s">
        <v>408</v>
      </c>
      <c r="E27" s="157" t="s">
        <v>409</v>
      </c>
      <c r="F27" s="157" t="s">
        <v>410</v>
      </c>
      <c r="G27" s="206" t="s">
        <v>359</v>
      </c>
      <c r="H27" s="157" t="s">
        <v>411</v>
      </c>
      <c r="I27" s="157" t="s">
        <v>412</v>
      </c>
      <c r="J27" s="157" t="s">
        <v>413</v>
      </c>
      <c r="K27" s="157" t="s">
        <v>397</v>
      </c>
      <c r="L27" s="200">
        <v>46082</v>
      </c>
      <c r="M27" s="157" t="s">
        <v>29</v>
      </c>
      <c r="N27" s="157" t="s">
        <v>30</v>
      </c>
      <c r="O27" s="157" t="s">
        <v>254</v>
      </c>
      <c r="P27" s="157" t="s">
        <v>414</v>
      </c>
      <c r="Q27" s="64">
        <v>86.125</v>
      </c>
    </row>
    <row r="28" spans="1:126" s="193" customFormat="1" ht="172.8" x14ac:dyDescent="0.25">
      <c r="A28" s="229">
        <v>23</v>
      </c>
      <c r="B28" s="157" t="s">
        <v>256</v>
      </c>
      <c r="C28" s="157" t="s">
        <v>83</v>
      </c>
      <c r="D28" s="157" t="s">
        <v>257</v>
      </c>
      <c r="E28" s="157" t="s">
        <v>258</v>
      </c>
      <c r="F28" s="157" t="s">
        <v>259</v>
      </c>
      <c r="G28" s="157" t="s">
        <v>83</v>
      </c>
      <c r="H28" s="157">
        <v>0</v>
      </c>
      <c r="I28" s="157" t="s">
        <v>260</v>
      </c>
      <c r="J28" s="157" t="s">
        <v>261</v>
      </c>
      <c r="K28" s="157" t="s">
        <v>262</v>
      </c>
      <c r="L28" s="52">
        <v>46296</v>
      </c>
      <c r="M28" s="157" t="s">
        <v>29</v>
      </c>
      <c r="N28" s="157" t="s">
        <v>30</v>
      </c>
      <c r="O28" s="157" t="s">
        <v>113</v>
      </c>
      <c r="P28" s="157" t="s">
        <v>263</v>
      </c>
      <c r="Q28" s="192">
        <v>86</v>
      </c>
    </row>
    <row r="29" spans="1:126" s="193" customFormat="1" ht="302.39999999999998" x14ac:dyDescent="0.25">
      <c r="A29" s="229">
        <v>24</v>
      </c>
      <c r="B29" s="157" t="s">
        <v>399</v>
      </c>
      <c r="C29" s="157" t="s">
        <v>83</v>
      </c>
      <c r="D29" s="157" t="s">
        <v>400</v>
      </c>
      <c r="E29" s="157" t="s">
        <v>401</v>
      </c>
      <c r="F29" s="157" t="s">
        <v>402</v>
      </c>
      <c r="G29" s="157" t="s">
        <v>359</v>
      </c>
      <c r="H29" s="157">
        <v>0</v>
      </c>
      <c r="I29" s="157" t="s">
        <v>403</v>
      </c>
      <c r="J29" s="157" t="s">
        <v>404</v>
      </c>
      <c r="K29" s="157" t="s">
        <v>405</v>
      </c>
      <c r="L29" s="157" t="s">
        <v>92</v>
      </c>
      <c r="M29" s="157" t="s">
        <v>29</v>
      </c>
      <c r="N29" s="157" t="s">
        <v>30</v>
      </c>
      <c r="O29" s="157" t="s">
        <v>63</v>
      </c>
      <c r="P29" s="157" t="s">
        <v>406</v>
      </c>
      <c r="Q29" s="64">
        <v>86</v>
      </c>
    </row>
    <row r="30" spans="1:126" s="193" customFormat="1" ht="238.8" customHeight="1" x14ac:dyDescent="0.25">
      <c r="A30" s="229">
        <v>25</v>
      </c>
      <c r="B30" s="157" t="s">
        <v>273</v>
      </c>
      <c r="C30" s="157" t="s">
        <v>274</v>
      </c>
      <c r="D30" s="157" t="s">
        <v>275</v>
      </c>
      <c r="E30" s="157" t="s">
        <v>276</v>
      </c>
      <c r="F30" s="157" t="s">
        <v>277</v>
      </c>
      <c r="G30" s="157" t="s">
        <v>278</v>
      </c>
      <c r="H30" s="157">
        <v>1</v>
      </c>
      <c r="I30" s="157" t="s">
        <v>279</v>
      </c>
      <c r="J30" s="157" t="s">
        <v>280</v>
      </c>
      <c r="K30" s="157" t="s">
        <v>281</v>
      </c>
      <c r="L30" s="52">
        <v>46295</v>
      </c>
      <c r="M30" s="157" t="s">
        <v>93</v>
      </c>
      <c r="N30" s="157" t="s">
        <v>30</v>
      </c>
      <c r="O30" s="157" t="s">
        <v>282</v>
      </c>
      <c r="P30" s="157" t="s">
        <v>283</v>
      </c>
      <c r="Q30" s="192">
        <v>85.625</v>
      </c>
    </row>
    <row r="31" spans="1:126" s="193" customFormat="1" ht="203.4" customHeight="1" x14ac:dyDescent="0.25">
      <c r="A31" s="229">
        <v>26</v>
      </c>
      <c r="B31" s="199" t="s">
        <v>309</v>
      </c>
      <c r="C31" s="199" t="s">
        <v>34</v>
      </c>
      <c r="D31" s="199" t="s">
        <v>310</v>
      </c>
      <c r="E31" s="199" t="s">
        <v>684</v>
      </c>
      <c r="F31" s="199" t="s">
        <v>312</v>
      </c>
      <c r="G31" s="214">
        <v>46357</v>
      </c>
      <c r="H31" s="199">
        <v>0</v>
      </c>
      <c r="I31" s="199" t="s">
        <v>313</v>
      </c>
      <c r="J31" s="199" t="s">
        <v>61</v>
      </c>
      <c r="K31" s="199" t="s">
        <v>685</v>
      </c>
      <c r="L31" s="200">
        <v>46358</v>
      </c>
      <c r="M31" s="181" t="s">
        <v>29</v>
      </c>
      <c r="N31" s="157" t="s">
        <v>30</v>
      </c>
      <c r="O31" s="227" t="s">
        <v>63</v>
      </c>
      <c r="P31" s="157" t="s">
        <v>315</v>
      </c>
      <c r="Q31" s="192">
        <v>85.625</v>
      </c>
    </row>
    <row r="32" spans="1:126" s="166" customFormat="1" ht="225" customHeight="1" x14ac:dyDescent="0.25">
      <c r="A32" s="229">
        <v>27</v>
      </c>
      <c r="B32" s="157" t="s">
        <v>500</v>
      </c>
      <c r="C32" s="157" t="s">
        <v>66</v>
      </c>
      <c r="D32" s="157" t="s">
        <v>501</v>
      </c>
      <c r="E32" s="157" t="s">
        <v>713</v>
      </c>
      <c r="F32" s="157" t="s">
        <v>503</v>
      </c>
      <c r="G32" s="85" t="s">
        <v>504</v>
      </c>
      <c r="H32" s="157">
        <v>0</v>
      </c>
      <c r="I32" s="28" t="s">
        <v>504</v>
      </c>
      <c r="J32" s="157" t="s">
        <v>505</v>
      </c>
      <c r="K32" s="157" t="s">
        <v>506</v>
      </c>
      <c r="L32" s="157" t="s">
        <v>507</v>
      </c>
      <c r="M32" s="181" t="s">
        <v>29</v>
      </c>
      <c r="N32" s="157" t="s">
        <v>30</v>
      </c>
      <c r="O32" s="157" t="s">
        <v>498</v>
      </c>
      <c r="P32" s="157" t="s">
        <v>508</v>
      </c>
      <c r="Q32" s="64">
        <v>85.625</v>
      </c>
    </row>
    <row r="33" spans="1:17" s="166" customFormat="1" ht="225" customHeight="1" x14ac:dyDescent="0.25">
      <c r="A33" s="229">
        <v>28</v>
      </c>
      <c r="B33" s="181" t="s">
        <v>424</v>
      </c>
      <c r="C33" s="181" t="s">
        <v>425</v>
      </c>
      <c r="D33" s="159" t="s">
        <v>426</v>
      </c>
      <c r="E33" s="181" t="s">
        <v>427</v>
      </c>
      <c r="F33" s="157" t="s">
        <v>428</v>
      </c>
      <c r="G33" s="157" t="s">
        <v>83</v>
      </c>
      <c r="H33" s="157">
        <v>0</v>
      </c>
      <c r="I33" s="157" t="s">
        <v>429</v>
      </c>
      <c r="J33" s="157" t="s">
        <v>430</v>
      </c>
      <c r="K33" s="157" t="s">
        <v>431</v>
      </c>
      <c r="L33" s="158">
        <v>46029</v>
      </c>
      <c r="M33" s="157" t="s">
        <v>29</v>
      </c>
      <c r="N33" s="157" t="s">
        <v>30</v>
      </c>
      <c r="O33" s="157" t="s">
        <v>432</v>
      </c>
      <c r="P33" s="157" t="s">
        <v>433</v>
      </c>
      <c r="Q33" s="64">
        <v>85.375</v>
      </c>
    </row>
    <row r="34" spans="1:17" s="166" customFormat="1" ht="265.95" customHeight="1" x14ac:dyDescent="0.25">
      <c r="A34" s="229">
        <v>29</v>
      </c>
      <c r="B34" s="181" t="s">
        <v>346</v>
      </c>
      <c r="C34" s="181" t="s">
        <v>34</v>
      </c>
      <c r="D34" s="159" t="s">
        <v>347</v>
      </c>
      <c r="E34" s="159" t="s">
        <v>698</v>
      </c>
      <c r="F34" s="157" t="s">
        <v>349</v>
      </c>
      <c r="G34" s="27" t="s">
        <v>350</v>
      </c>
      <c r="H34" s="157">
        <v>0</v>
      </c>
      <c r="I34" s="157" t="s">
        <v>351</v>
      </c>
      <c r="J34" s="157" t="s">
        <v>352</v>
      </c>
      <c r="K34" s="157" t="s">
        <v>699</v>
      </c>
      <c r="L34" s="200">
        <v>46174</v>
      </c>
      <c r="M34" s="157" t="s">
        <v>29</v>
      </c>
      <c r="N34" s="157" t="s">
        <v>30</v>
      </c>
      <c r="O34" s="201" t="s">
        <v>233</v>
      </c>
      <c r="P34" s="157" t="s">
        <v>354</v>
      </c>
      <c r="Q34" s="64">
        <v>85.25</v>
      </c>
    </row>
    <row r="35" spans="1:17" s="166" customFormat="1" ht="145.94999999999999" customHeight="1" x14ac:dyDescent="0.25">
      <c r="A35" s="229">
        <v>30</v>
      </c>
      <c r="B35" s="157" t="s">
        <v>473</v>
      </c>
      <c r="C35" s="157" t="s">
        <v>66</v>
      </c>
      <c r="D35" s="157" t="s">
        <v>474</v>
      </c>
      <c r="E35" s="157" t="s">
        <v>709</v>
      </c>
      <c r="F35" s="157" t="s">
        <v>476</v>
      </c>
      <c r="G35" s="157" t="s">
        <v>477</v>
      </c>
      <c r="H35" s="157">
        <v>0</v>
      </c>
      <c r="I35" s="157" t="s">
        <v>477</v>
      </c>
      <c r="J35" s="203" t="s">
        <v>478</v>
      </c>
      <c r="K35" s="203" t="s">
        <v>479</v>
      </c>
      <c r="L35" s="158">
        <v>46234</v>
      </c>
      <c r="M35" s="157" t="s">
        <v>29</v>
      </c>
      <c r="N35" s="157" t="s">
        <v>30</v>
      </c>
      <c r="O35" s="157" t="s">
        <v>31</v>
      </c>
      <c r="P35" s="157" t="s">
        <v>480</v>
      </c>
      <c r="Q35" s="64">
        <v>85.25</v>
      </c>
    </row>
    <row r="36" spans="1:17" s="166" customFormat="1" ht="189" customHeight="1" x14ac:dyDescent="0.25">
      <c r="A36" s="229">
        <v>31</v>
      </c>
      <c r="B36" s="181" t="s">
        <v>481</v>
      </c>
      <c r="C36" s="181" t="s">
        <v>66</v>
      </c>
      <c r="D36" s="181" t="s">
        <v>482</v>
      </c>
      <c r="E36" s="181" t="s">
        <v>710</v>
      </c>
      <c r="F36" s="181" t="s">
        <v>484</v>
      </c>
      <c r="G36" s="181" t="s">
        <v>485</v>
      </c>
      <c r="H36" s="181">
        <v>0</v>
      </c>
      <c r="I36" s="181" t="s">
        <v>486</v>
      </c>
      <c r="J36" s="213" t="s">
        <v>487</v>
      </c>
      <c r="K36" s="213" t="s">
        <v>488</v>
      </c>
      <c r="L36" s="158">
        <v>46265</v>
      </c>
      <c r="M36" s="157" t="s">
        <v>29</v>
      </c>
      <c r="N36" s="157" t="s">
        <v>30</v>
      </c>
      <c r="O36" s="157" t="s">
        <v>489</v>
      </c>
      <c r="P36" s="157" t="s">
        <v>490</v>
      </c>
      <c r="Q36" s="64">
        <v>85.25</v>
      </c>
    </row>
    <row r="37" spans="1:17" s="160" customFormat="1" ht="162" customHeight="1" x14ac:dyDescent="0.25">
      <c r="A37" s="229">
        <v>32</v>
      </c>
      <c r="B37" s="181" t="s">
        <v>509</v>
      </c>
      <c r="C37" s="181" t="s">
        <v>510</v>
      </c>
      <c r="D37" s="181" t="s">
        <v>511</v>
      </c>
      <c r="E37" s="181" t="s">
        <v>512</v>
      </c>
      <c r="F37" s="181" t="s">
        <v>513</v>
      </c>
      <c r="G37" s="181" t="s">
        <v>514</v>
      </c>
      <c r="H37" s="181">
        <v>0</v>
      </c>
      <c r="I37" s="181" t="s">
        <v>515</v>
      </c>
      <c r="J37" s="181" t="s">
        <v>516</v>
      </c>
      <c r="K37" s="181" t="s">
        <v>517</v>
      </c>
      <c r="L37" s="157" t="s">
        <v>83</v>
      </c>
      <c r="M37" s="157" t="s">
        <v>29</v>
      </c>
      <c r="N37" s="157" t="s">
        <v>30</v>
      </c>
      <c r="O37" s="157" t="s">
        <v>31</v>
      </c>
      <c r="P37" s="157" t="s">
        <v>518</v>
      </c>
      <c r="Q37" s="64">
        <v>85.25</v>
      </c>
    </row>
    <row r="38" spans="1:17" s="160" customFormat="1" ht="409.6" x14ac:dyDescent="0.25">
      <c r="A38" s="229">
        <v>33</v>
      </c>
      <c r="B38" s="161" t="s">
        <v>188</v>
      </c>
      <c r="C38" s="161" t="s">
        <v>34</v>
      </c>
      <c r="D38" s="27" t="s">
        <v>189</v>
      </c>
      <c r="E38" s="171" t="s">
        <v>674</v>
      </c>
      <c r="F38" s="171" t="s">
        <v>675</v>
      </c>
      <c r="G38" s="161" t="s">
        <v>165</v>
      </c>
      <c r="H38" s="28">
        <v>15.734400000000001</v>
      </c>
      <c r="I38" s="27" t="s">
        <v>192</v>
      </c>
      <c r="J38" s="27" t="s">
        <v>193</v>
      </c>
      <c r="K38" s="171" t="s">
        <v>676</v>
      </c>
      <c r="L38" s="218">
        <v>46360</v>
      </c>
      <c r="M38" s="224" t="s">
        <v>169</v>
      </c>
      <c r="N38" s="224" t="s">
        <v>170</v>
      </c>
      <c r="O38" s="161" t="s">
        <v>42</v>
      </c>
      <c r="P38" s="28" t="s">
        <v>195</v>
      </c>
      <c r="Q38" s="192">
        <v>85.222222222222229</v>
      </c>
    </row>
    <row r="39" spans="1:17" s="176" customFormat="1" ht="409.6" x14ac:dyDescent="0.25">
      <c r="A39" s="229">
        <v>34</v>
      </c>
      <c r="B39" s="199" t="s">
        <v>316</v>
      </c>
      <c r="C39" s="181" t="s">
        <v>34</v>
      </c>
      <c r="D39" s="181" t="s">
        <v>317</v>
      </c>
      <c r="E39" s="181" t="s">
        <v>318</v>
      </c>
      <c r="F39" s="181" t="s">
        <v>686</v>
      </c>
      <c r="G39" s="179" t="s">
        <v>99</v>
      </c>
      <c r="H39" s="181">
        <v>0</v>
      </c>
      <c r="I39" s="181" t="s">
        <v>320</v>
      </c>
      <c r="J39" s="181" t="s">
        <v>61</v>
      </c>
      <c r="K39" s="181" t="s">
        <v>687</v>
      </c>
      <c r="L39" s="200">
        <v>46359</v>
      </c>
      <c r="M39" s="222" t="s">
        <v>29</v>
      </c>
      <c r="N39" s="157" t="s">
        <v>30</v>
      </c>
      <c r="O39" s="157" t="s">
        <v>31</v>
      </c>
      <c r="P39" s="157" t="s">
        <v>322</v>
      </c>
      <c r="Q39" s="69">
        <v>85.125</v>
      </c>
    </row>
    <row r="40" spans="1:17" s="176" customFormat="1" ht="409.6" x14ac:dyDescent="0.25">
      <c r="A40" s="229">
        <v>35</v>
      </c>
      <c r="B40" s="161" t="s">
        <v>180</v>
      </c>
      <c r="C40" s="161" t="s">
        <v>34</v>
      </c>
      <c r="D40" s="204" t="s">
        <v>181</v>
      </c>
      <c r="E40" s="190" t="s">
        <v>670</v>
      </c>
      <c r="F40" s="171" t="s">
        <v>671</v>
      </c>
      <c r="G40" s="161" t="s">
        <v>165</v>
      </c>
      <c r="H40" s="28">
        <v>2000</v>
      </c>
      <c r="I40" s="27" t="s">
        <v>184</v>
      </c>
      <c r="J40" s="27" t="s">
        <v>672</v>
      </c>
      <c r="K40" s="171" t="s">
        <v>673</v>
      </c>
      <c r="L40" s="218">
        <v>46359</v>
      </c>
      <c r="M40" s="224" t="s">
        <v>169</v>
      </c>
      <c r="N40" s="224" t="s">
        <v>170</v>
      </c>
      <c r="O40" s="161" t="s">
        <v>42</v>
      </c>
      <c r="P40" s="157" t="s">
        <v>187</v>
      </c>
      <c r="Q40" s="192">
        <v>85.111111111111114</v>
      </c>
    </row>
    <row r="41" spans="1:17" ht="409.6" x14ac:dyDescent="0.25">
      <c r="A41" s="229">
        <v>36</v>
      </c>
      <c r="B41" s="157" t="s">
        <v>44</v>
      </c>
      <c r="C41" s="157" t="s">
        <v>45</v>
      </c>
      <c r="D41" s="157" t="s">
        <v>46</v>
      </c>
      <c r="E41" s="157" t="s">
        <v>47</v>
      </c>
      <c r="F41" s="157" t="s">
        <v>48</v>
      </c>
      <c r="G41" s="157" t="s">
        <v>49</v>
      </c>
      <c r="H41" s="157">
        <v>0</v>
      </c>
      <c r="I41" s="157" t="s">
        <v>50</v>
      </c>
      <c r="J41" s="157" t="s">
        <v>51</v>
      </c>
      <c r="K41" s="157" t="s">
        <v>52</v>
      </c>
      <c r="L41" s="158">
        <v>46356</v>
      </c>
      <c r="M41" s="157" t="s">
        <v>29</v>
      </c>
      <c r="N41" s="157" t="s">
        <v>30</v>
      </c>
      <c r="O41" s="157" t="s">
        <v>31</v>
      </c>
      <c r="P41" s="157" t="s">
        <v>53</v>
      </c>
      <c r="Q41" s="66">
        <v>85</v>
      </c>
    </row>
    <row r="42" spans="1:17" ht="216" x14ac:dyDescent="0.25">
      <c r="A42" s="229">
        <v>37</v>
      </c>
      <c r="B42" s="157" t="s">
        <v>564</v>
      </c>
      <c r="C42" s="157" t="s">
        <v>565</v>
      </c>
      <c r="D42" s="157" t="s">
        <v>566</v>
      </c>
      <c r="E42" s="157" t="s">
        <v>567</v>
      </c>
      <c r="F42" s="157" t="s">
        <v>568</v>
      </c>
      <c r="G42" s="157" t="s">
        <v>569</v>
      </c>
      <c r="H42" s="157">
        <v>1</v>
      </c>
      <c r="I42" s="157" t="s">
        <v>570</v>
      </c>
      <c r="J42" s="157" t="s">
        <v>571</v>
      </c>
      <c r="K42" s="157" t="s">
        <v>572</v>
      </c>
      <c r="L42" s="200">
        <v>46198</v>
      </c>
      <c r="M42" s="157" t="s">
        <v>29</v>
      </c>
      <c r="N42" s="157" t="s">
        <v>30</v>
      </c>
      <c r="O42" s="157" t="s">
        <v>159</v>
      </c>
      <c r="P42" s="157" t="s">
        <v>573</v>
      </c>
      <c r="Q42" s="64">
        <v>85</v>
      </c>
    </row>
    <row r="43" spans="1:17" ht="230.4" x14ac:dyDescent="0.25">
      <c r="A43" s="229">
        <v>38</v>
      </c>
      <c r="B43" s="157" t="s">
        <v>284</v>
      </c>
      <c r="C43" s="157" t="s">
        <v>285</v>
      </c>
      <c r="D43" s="157" t="s">
        <v>286</v>
      </c>
      <c r="E43" s="157" t="s">
        <v>287</v>
      </c>
      <c r="F43" s="157" t="s">
        <v>288</v>
      </c>
      <c r="G43" s="181" t="s">
        <v>289</v>
      </c>
      <c r="H43" s="157">
        <v>3.6850000000000001</v>
      </c>
      <c r="I43" s="157" t="s">
        <v>290</v>
      </c>
      <c r="J43" s="157" t="s">
        <v>291</v>
      </c>
      <c r="K43" s="157" t="s">
        <v>292</v>
      </c>
      <c r="L43" s="52">
        <v>46203</v>
      </c>
      <c r="M43" s="181" t="s">
        <v>29</v>
      </c>
      <c r="N43" s="157" t="s">
        <v>30</v>
      </c>
      <c r="O43" s="202" t="s">
        <v>63</v>
      </c>
      <c r="P43" s="157" t="s">
        <v>293</v>
      </c>
      <c r="Q43" s="192">
        <v>84.875</v>
      </c>
    </row>
    <row r="44" spans="1:17" ht="409.6" x14ac:dyDescent="0.25">
      <c r="A44" s="156">
        <v>39</v>
      </c>
      <c r="B44" s="161" t="s">
        <v>161</v>
      </c>
      <c r="C44" s="161" t="s">
        <v>34</v>
      </c>
      <c r="D44" s="161" t="s">
        <v>162</v>
      </c>
      <c r="E44" s="161" t="s">
        <v>163</v>
      </c>
      <c r="F44" s="162" t="s">
        <v>665</v>
      </c>
      <c r="G44" s="179" t="s">
        <v>165</v>
      </c>
      <c r="H44" s="216">
        <v>76.849999999999994</v>
      </c>
      <c r="I44" s="161" t="s">
        <v>166</v>
      </c>
      <c r="J44" s="161" t="s">
        <v>666</v>
      </c>
      <c r="K44" s="162" t="s">
        <v>667</v>
      </c>
      <c r="L44" s="218">
        <v>46357</v>
      </c>
      <c r="M44" s="223" t="s">
        <v>169</v>
      </c>
      <c r="N44" s="224" t="s">
        <v>170</v>
      </c>
      <c r="O44" s="161" t="s">
        <v>42</v>
      </c>
      <c r="P44" s="157" t="s">
        <v>171</v>
      </c>
      <c r="Q44" s="66">
        <v>84.777777777777771</v>
      </c>
    </row>
    <row r="45" spans="1:17" ht="201.6" x14ac:dyDescent="0.25">
      <c r="A45" s="156">
        <v>40</v>
      </c>
      <c r="B45" s="196" t="s">
        <v>225</v>
      </c>
      <c r="C45" s="197" t="s">
        <v>226</v>
      </c>
      <c r="D45" s="197" t="s">
        <v>227</v>
      </c>
      <c r="E45" s="197" t="s">
        <v>228</v>
      </c>
      <c r="F45" s="197" t="s">
        <v>229</v>
      </c>
      <c r="G45" s="179" t="s">
        <v>165</v>
      </c>
      <c r="H45" s="157">
        <v>0</v>
      </c>
      <c r="I45" s="157" t="s">
        <v>230</v>
      </c>
      <c r="J45" s="157" t="s">
        <v>231</v>
      </c>
      <c r="K45" s="157" t="s">
        <v>232</v>
      </c>
      <c r="L45" s="52">
        <v>46387</v>
      </c>
      <c r="M45" s="85" t="s">
        <v>214</v>
      </c>
      <c r="N45" s="28" t="s">
        <v>30</v>
      </c>
      <c r="O45" s="202" t="s">
        <v>233</v>
      </c>
      <c r="P45" s="28" t="s">
        <v>234</v>
      </c>
      <c r="Q45" s="192">
        <v>84.777777777777771</v>
      </c>
    </row>
    <row r="46" spans="1:17" ht="360" x14ac:dyDescent="0.25">
      <c r="A46" s="156">
        <v>41</v>
      </c>
      <c r="B46" s="203" t="s">
        <v>529</v>
      </c>
      <c r="C46" s="203" t="s">
        <v>66</v>
      </c>
      <c r="D46" s="157" t="s">
        <v>530</v>
      </c>
      <c r="E46" s="157" t="s">
        <v>531</v>
      </c>
      <c r="F46" s="157" t="s">
        <v>532</v>
      </c>
      <c r="G46" s="181" t="s">
        <v>533</v>
      </c>
      <c r="H46" s="157">
        <v>0</v>
      </c>
      <c r="I46" s="157" t="s">
        <v>534</v>
      </c>
      <c r="J46" s="157" t="s">
        <v>535</v>
      </c>
      <c r="K46" s="157" t="s">
        <v>536</v>
      </c>
      <c r="L46" s="174" t="s">
        <v>112</v>
      </c>
      <c r="M46" s="181" t="s">
        <v>29</v>
      </c>
      <c r="N46" s="157" t="s">
        <v>30</v>
      </c>
      <c r="O46" s="204" t="s">
        <v>537</v>
      </c>
      <c r="P46" s="28" t="s">
        <v>538</v>
      </c>
      <c r="Q46" s="64">
        <v>84.75</v>
      </c>
    </row>
    <row r="47" spans="1:17" ht="331.2" x14ac:dyDescent="0.25">
      <c r="A47" s="156">
        <v>42</v>
      </c>
      <c r="B47" s="157" t="s">
        <v>464</v>
      </c>
      <c r="C47" s="157" t="s">
        <v>66</v>
      </c>
      <c r="D47" s="157" t="s">
        <v>465</v>
      </c>
      <c r="E47" s="157" t="s">
        <v>708</v>
      </c>
      <c r="F47" s="157" t="s">
        <v>467</v>
      </c>
      <c r="G47" s="181" t="s">
        <v>468</v>
      </c>
      <c r="H47" s="157">
        <v>0</v>
      </c>
      <c r="I47" s="157" t="s">
        <v>469</v>
      </c>
      <c r="J47" s="203" t="s">
        <v>470</v>
      </c>
      <c r="K47" s="203" t="s">
        <v>471</v>
      </c>
      <c r="L47" s="158">
        <v>46295</v>
      </c>
      <c r="M47" s="181" t="s">
        <v>29</v>
      </c>
      <c r="N47" s="157" t="s">
        <v>30</v>
      </c>
      <c r="O47" s="157" t="s">
        <v>31</v>
      </c>
      <c r="P47" s="157" t="s">
        <v>472</v>
      </c>
      <c r="Q47" s="64">
        <v>84.625</v>
      </c>
    </row>
    <row r="48" spans="1:17" ht="409.6" x14ac:dyDescent="0.25">
      <c r="A48" s="156">
        <v>43</v>
      </c>
      <c r="B48" s="161" t="s">
        <v>33</v>
      </c>
      <c r="C48" s="161" t="s">
        <v>34</v>
      </c>
      <c r="D48" s="161" t="s">
        <v>35</v>
      </c>
      <c r="E48" s="161" t="s">
        <v>655</v>
      </c>
      <c r="F48" s="162" t="s">
        <v>656</v>
      </c>
      <c r="G48" s="211" t="s">
        <v>38</v>
      </c>
      <c r="H48" s="161">
        <v>12.2</v>
      </c>
      <c r="I48" s="161" t="s">
        <v>39</v>
      </c>
      <c r="J48" s="162" t="s">
        <v>657</v>
      </c>
      <c r="K48" s="162" t="s">
        <v>658</v>
      </c>
      <c r="L48" s="163">
        <v>46387</v>
      </c>
      <c r="M48" s="181" t="s">
        <v>29</v>
      </c>
      <c r="N48" s="157" t="s">
        <v>30</v>
      </c>
      <c r="O48" s="211" t="s">
        <v>42</v>
      </c>
      <c r="P48" s="28" t="s">
        <v>43</v>
      </c>
      <c r="Q48" s="66">
        <v>84.555555555555557</v>
      </c>
    </row>
    <row r="49" spans="1:17" ht="216" x14ac:dyDescent="0.25">
      <c r="A49" s="156">
        <v>44</v>
      </c>
      <c r="B49" s="157" t="s">
        <v>104</v>
      </c>
      <c r="C49" s="157" t="s">
        <v>105</v>
      </c>
      <c r="D49" s="157" t="s">
        <v>106</v>
      </c>
      <c r="E49" s="157" t="s">
        <v>107</v>
      </c>
      <c r="F49" s="157" t="s">
        <v>108</v>
      </c>
      <c r="G49" s="157" t="s">
        <v>49</v>
      </c>
      <c r="H49" s="157">
        <v>0</v>
      </c>
      <c r="I49" s="157" t="s">
        <v>109</v>
      </c>
      <c r="J49" s="157" t="s">
        <v>110</v>
      </c>
      <c r="K49" s="157" t="s">
        <v>111</v>
      </c>
      <c r="L49" s="174" t="s">
        <v>112</v>
      </c>
      <c r="M49" s="157" t="s">
        <v>29</v>
      </c>
      <c r="N49" s="157" t="s">
        <v>30</v>
      </c>
      <c r="O49" s="203" t="s">
        <v>113</v>
      </c>
      <c r="P49" s="157" t="s">
        <v>114</v>
      </c>
      <c r="Q49" s="66">
        <v>84.555555555555557</v>
      </c>
    </row>
    <row r="50" spans="1:17" ht="273.60000000000002" x14ac:dyDescent="0.25">
      <c r="A50" s="156">
        <v>45</v>
      </c>
      <c r="B50" s="203" t="s">
        <v>539</v>
      </c>
      <c r="C50" s="203" t="s">
        <v>540</v>
      </c>
      <c r="D50" s="203" t="s">
        <v>541</v>
      </c>
      <c r="E50" s="203" t="s">
        <v>542</v>
      </c>
      <c r="F50" s="203" t="s">
        <v>543</v>
      </c>
      <c r="G50" s="203" t="s">
        <v>514</v>
      </c>
      <c r="H50" s="203">
        <v>0</v>
      </c>
      <c r="I50" s="203" t="s">
        <v>544</v>
      </c>
      <c r="J50" s="203" t="s">
        <v>61</v>
      </c>
      <c r="K50" s="203" t="s">
        <v>545</v>
      </c>
      <c r="L50" s="205">
        <v>46387</v>
      </c>
      <c r="M50" s="203" t="s">
        <v>29</v>
      </c>
      <c r="N50" s="203" t="s">
        <v>30</v>
      </c>
      <c r="O50" s="203" t="s">
        <v>546</v>
      </c>
      <c r="P50" s="28" t="s">
        <v>547</v>
      </c>
      <c r="Q50" s="64">
        <v>84.5</v>
      </c>
    </row>
    <row r="51" spans="1:17" ht="409.6" x14ac:dyDescent="0.25">
      <c r="A51" s="156">
        <v>46</v>
      </c>
      <c r="B51" s="157" t="s">
        <v>331</v>
      </c>
      <c r="C51" s="157" t="s">
        <v>34</v>
      </c>
      <c r="D51" s="157" t="s">
        <v>332</v>
      </c>
      <c r="E51" s="157" t="s">
        <v>333</v>
      </c>
      <c r="F51" s="157" t="s">
        <v>692</v>
      </c>
      <c r="G51" s="161" t="s">
        <v>99</v>
      </c>
      <c r="H51" s="157">
        <v>0</v>
      </c>
      <c r="I51" s="157" t="s">
        <v>335</v>
      </c>
      <c r="J51" s="157" t="s">
        <v>61</v>
      </c>
      <c r="K51" s="157" t="s">
        <v>693</v>
      </c>
      <c r="L51" s="200">
        <v>46361</v>
      </c>
      <c r="M51" s="157" t="s">
        <v>29</v>
      </c>
      <c r="N51" s="157" t="s">
        <v>30</v>
      </c>
      <c r="O51" s="201" t="s">
        <v>63</v>
      </c>
      <c r="P51" s="157" t="s">
        <v>337</v>
      </c>
      <c r="Q51" s="69">
        <v>84.375</v>
      </c>
    </row>
    <row r="52" spans="1:17" ht="331.2" x14ac:dyDescent="0.25">
      <c r="A52" s="156">
        <v>47</v>
      </c>
      <c r="B52" s="157" t="s">
        <v>594</v>
      </c>
      <c r="C52" s="157" t="s">
        <v>595</v>
      </c>
      <c r="D52" s="157" t="s">
        <v>716</v>
      </c>
      <c r="E52" s="157" t="s">
        <v>597</v>
      </c>
      <c r="F52" s="157" t="s">
        <v>598</v>
      </c>
      <c r="G52" s="157" t="s">
        <v>599</v>
      </c>
      <c r="H52" s="157">
        <v>0</v>
      </c>
      <c r="I52" s="157">
        <v>0</v>
      </c>
      <c r="J52" s="157">
        <v>0</v>
      </c>
      <c r="K52" s="157">
        <v>0</v>
      </c>
      <c r="L52" s="158">
        <v>46356</v>
      </c>
      <c r="M52" s="157" t="s">
        <v>29</v>
      </c>
      <c r="N52" s="157" t="s">
        <v>30</v>
      </c>
      <c r="O52" s="157" t="s">
        <v>381</v>
      </c>
      <c r="P52" s="157" t="s">
        <v>600</v>
      </c>
      <c r="Q52" s="64">
        <v>84.125</v>
      </c>
    </row>
    <row r="53" spans="1:17" ht="409.6" x14ac:dyDescent="0.25">
      <c r="A53" s="156">
        <v>48</v>
      </c>
      <c r="B53" s="161" t="s">
        <v>172</v>
      </c>
      <c r="C53" s="161" t="s">
        <v>34</v>
      </c>
      <c r="D53" s="27" t="s">
        <v>173</v>
      </c>
      <c r="E53" s="171" t="s">
        <v>668</v>
      </c>
      <c r="F53" s="171" t="s">
        <v>669</v>
      </c>
      <c r="G53" s="164" t="s">
        <v>165</v>
      </c>
      <c r="H53" s="28">
        <v>2000</v>
      </c>
      <c r="I53" s="161" t="s">
        <v>176</v>
      </c>
      <c r="J53" s="161" t="s">
        <v>177</v>
      </c>
      <c r="K53" s="161" t="s">
        <v>178</v>
      </c>
      <c r="L53" s="218">
        <v>46358</v>
      </c>
      <c r="M53" s="220" t="s">
        <v>169</v>
      </c>
      <c r="N53" s="220" t="s">
        <v>170</v>
      </c>
      <c r="O53" s="161" t="s">
        <v>42</v>
      </c>
      <c r="P53" s="28" t="s">
        <v>179</v>
      </c>
      <c r="Q53" s="66">
        <v>83.777777777777771</v>
      </c>
    </row>
    <row r="54" spans="1:17" ht="216" x14ac:dyDescent="0.25">
      <c r="A54" s="156">
        <v>49</v>
      </c>
      <c r="B54" s="203" t="s">
        <v>548</v>
      </c>
      <c r="C54" s="203" t="s">
        <v>549</v>
      </c>
      <c r="D54" s="203" t="s">
        <v>550</v>
      </c>
      <c r="E54" s="203" t="s">
        <v>551</v>
      </c>
      <c r="F54" s="203" t="s">
        <v>552</v>
      </c>
      <c r="G54" s="213" t="s">
        <v>342</v>
      </c>
      <c r="H54" s="203">
        <v>0.15</v>
      </c>
      <c r="I54" s="203" t="s">
        <v>553</v>
      </c>
      <c r="J54" s="203" t="s">
        <v>554</v>
      </c>
      <c r="K54" s="203" t="s">
        <v>555</v>
      </c>
      <c r="L54" s="174" t="s">
        <v>112</v>
      </c>
      <c r="M54" s="181" t="s">
        <v>29</v>
      </c>
      <c r="N54" s="181" t="s">
        <v>30</v>
      </c>
      <c r="O54" s="213" t="s">
        <v>113</v>
      </c>
      <c r="P54" s="28" t="s">
        <v>556</v>
      </c>
      <c r="Q54" s="64">
        <v>83.5</v>
      </c>
    </row>
    <row r="55" spans="1:17" ht="144" x14ac:dyDescent="0.25">
      <c r="A55" s="156">
        <v>50</v>
      </c>
      <c r="B55" s="157" t="s">
        <v>216</v>
      </c>
      <c r="C55" s="157" t="s">
        <v>217</v>
      </c>
      <c r="D55" s="157" t="s">
        <v>218</v>
      </c>
      <c r="E55" s="157" t="s">
        <v>219</v>
      </c>
      <c r="F55" s="157" t="s">
        <v>220</v>
      </c>
      <c r="G55" s="157" t="s">
        <v>49</v>
      </c>
      <c r="H55" s="157">
        <v>0</v>
      </c>
      <c r="I55" s="157" t="s">
        <v>221</v>
      </c>
      <c r="J55" s="157" t="s">
        <v>61</v>
      </c>
      <c r="K55" s="157" t="s">
        <v>222</v>
      </c>
      <c r="L55" s="174" t="s">
        <v>112</v>
      </c>
      <c r="M55" s="195" t="s">
        <v>29</v>
      </c>
      <c r="N55" s="195" t="s">
        <v>30</v>
      </c>
      <c r="O55" s="157" t="s">
        <v>223</v>
      </c>
      <c r="P55" s="157" t="s">
        <v>224</v>
      </c>
      <c r="Q55" s="192">
        <v>83.444444444444443</v>
      </c>
    </row>
    <row r="56" spans="1:17" ht="387.6" x14ac:dyDescent="0.25">
      <c r="A56" s="156">
        <v>51</v>
      </c>
      <c r="B56" s="157" t="s">
        <v>302</v>
      </c>
      <c r="C56" s="157" t="s">
        <v>34</v>
      </c>
      <c r="D56" s="157" t="s">
        <v>303</v>
      </c>
      <c r="E56" s="157" t="s">
        <v>304</v>
      </c>
      <c r="F56" s="157" t="s">
        <v>305</v>
      </c>
      <c r="G56" s="161" t="s">
        <v>99</v>
      </c>
      <c r="H56" s="157">
        <v>0</v>
      </c>
      <c r="I56" s="157" t="s">
        <v>306</v>
      </c>
      <c r="J56" s="157" t="s">
        <v>61</v>
      </c>
      <c r="K56" s="157" t="s">
        <v>683</v>
      </c>
      <c r="L56" s="200">
        <v>46357</v>
      </c>
      <c r="M56" s="157" t="s">
        <v>29</v>
      </c>
      <c r="N56" s="157" t="s">
        <v>30</v>
      </c>
      <c r="O56" s="157" t="s">
        <v>31</v>
      </c>
      <c r="P56" s="157" t="s">
        <v>308</v>
      </c>
      <c r="Q56" s="192">
        <v>83.375</v>
      </c>
    </row>
    <row r="57" spans="1:17" ht="409.6" x14ac:dyDescent="0.25">
      <c r="A57" s="156">
        <v>52</v>
      </c>
      <c r="B57" s="27" t="s">
        <v>95</v>
      </c>
      <c r="C57" s="27" t="s">
        <v>34</v>
      </c>
      <c r="D57" s="27" t="s">
        <v>96</v>
      </c>
      <c r="E57" s="27" t="s">
        <v>97</v>
      </c>
      <c r="F57" s="27" t="s">
        <v>98</v>
      </c>
      <c r="G57" s="27" t="s">
        <v>99</v>
      </c>
      <c r="H57" s="27">
        <v>0</v>
      </c>
      <c r="I57" s="27" t="s">
        <v>100</v>
      </c>
      <c r="J57" s="27" t="s">
        <v>101</v>
      </c>
      <c r="K57" s="27" t="s">
        <v>102</v>
      </c>
      <c r="L57" s="47">
        <v>46357</v>
      </c>
      <c r="M57" s="157" t="s">
        <v>29</v>
      </c>
      <c r="N57" s="27" t="s">
        <v>30</v>
      </c>
      <c r="O57" s="157" t="s">
        <v>31</v>
      </c>
      <c r="P57" s="28" t="s">
        <v>103</v>
      </c>
      <c r="Q57" s="66">
        <v>82.888888888888886</v>
      </c>
    </row>
    <row r="58" spans="1:17" ht="216" x14ac:dyDescent="0.25">
      <c r="A58" s="156">
        <v>53</v>
      </c>
      <c r="B58" s="157" t="s">
        <v>582</v>
      </c>
      <c r="C58" s="157" t="s">
        <v>583</v>
      </c>
      <c r="D58" s="157" t="s">
        <v>584</v>
      </c>
      <c r="E58" s="157" t="s">
        <v>585</v>
      </c>
      <c r="F58" s="157" t="s">
        <v>715</v>
      </c>
      <c r="G58" s="157" t="s">
        <v>587</v>
      </c>
      <c r="H58" s="157">
        <v>4.5</v>
      </c>
      <c r="I58" s="157" t="s">
        <v>588</v>
      </c>
      <c r="J58" s="157" t="s">
        <v>589</v>
      </c>
      <c r="K58" s="157" t="s">
        <v>590</v>
      </c>
      <c r="L58" s="158">
        <v>46203</v>
      </c>
      <c r="M58" s="157" t="s">
        <v>252</v>
      </c>
      <c r="N58" s="157" t="s">
        <v>591</v>
      </c>
      <c r="O58" s="157" t="s">
        <v>592</v>
      </c>
      <c r="P58" s="157" t="s">
        <v>593</v>
      </c>
      <c r="Q58" s="64">
        <v>82.75</v>
      </c>
    </row>
    <row r="59" spans="1:17" ht="86.4" x14ac:dyDescent="0.25">
      <c r="A59" s="156">
        <v>54</v>
      </c>
      <c r="B59" s="203" t="s">
        <v>519</v>
      </c>
      <c r="C59" s="203" t="s">
        <v>520</v>
      </c>
      <c r="D59" s="157" t="s">
        <v>521</v>
      </c>
      <c r="E59" s="203" t="s">
        <v>522</v>
      </c>
      <c r="F59" s="157" t="s">
        <v>523</v>
      </c>
      <c r="G59" s="157" t="s">
        <v>524</v>
      </c>
      <c r="H59" s="157">
        <v>0</v>
      </c>
      <c r="I59" s="157" t="s">
        <v>525</v>
      </c>
      <c r="J59" s="157" t="s">
        <v>30</v>
      </c>
      <c r="K59" s="157" t="s">
        <v>526</v>
      </c>
      <c r="L59" s="174">
        <v>46235</v>
      </c>
      <c r="M59" s="157" t="s">
        <v>29</v>
      </c>
      <c r="N59" s="157" t="s">
        <v>30</v>
      </c>
      <c r="O59" s="157" t="s">
        <v>714</v>
      </c>
      <c r="P59" s="28" t="s">
        <v>528</v>
      </c>
      <c r="Q59" s="64">
        <v>82.625</v>
      </c>
    </row>
    <row r="60" spans="1:17" ht="331.2" x14ac:dyDescent="0.25">
      <c r="A60" s="156">
        <v>55</v>
      </c>
      <c r="B60" s="203" t="s">
        <v>557</v>
      </c>
      <c r="C60" s="203" t="s">
        <v>558</v>
      </c>
      <c r="D60" s="203" t="s">
        <v>559</v>
      </c>
      <c r="E60" s="203" t="s">
        <v>560</v>
      </c>
      <c r="F60" s="203" t="s">
        <v>561</v>
      </c>
      <c r="G60" s="203" t="s">
        <v>342</v>
      </c>
      <c r="H60" s="203">
        <v>0</v>
      </c>
      <c r="I60" s="203" t="s">
        <v>109</v>
      </c>
      <c r="J60" s="203" t="s">
        <v>30</v>
      </c>
      <c r="K60" s="203" t="s">
        <v>562</v>
      </c>
      <c r="L60" s="174" t="s">
        <v>112</v>
      </c>
      <c r="M60" s="157" t="s">
        <v>29</v>
      </c>
      <c r="N60" s="157" t="s">
        <v>30</v>
      </c>
      <c r="O60" s="203" t="s">
        <v>113</v>
      </c>
      <c r="P60" s="28" t="s">
        <v>563</v>
      </c>
      <c r="Q60" s="64">
        <v>82.5</v>
      </c>
    </row>
    <row r="61" spans="1:17" ht="172.8" x14ac:dyDescent="0.25">
      <c r="A61" s="156">
        <v>56</v>
      </c>
      <c r="B61" s="27" t="s">
        <v>206</v>
      </c>
      <c r="C61" s="28" t="s">
        <v>207</v>
      </c>
      <c r="D61" s="27" t="s">
        <v>208</v>
      </c>
      <c r="E61" s="27" t="s">
        <v>209</v>
      </c>
      <c r="F61" s="27" t="s">
        <v>210</v>
      </c>
      <c r="G61" s="27" t="s">
        <v>211</v>
      </c>
      <c r="H61" s="183">
        <v>0</v>
      </c>
      <c r="I61" s="27" t="s">
        <v>120</v>
      </c>
      <c r="J61" s="27" t="s">
        <v>212</v>
      </c>
      <c r="K61" s="27" t="s">
        <v>213</v>
      </c>
      <c r="L61" s="52">
        <v>46387</v>
      </c>
      <c r="M61" s="27" t="s">
        <v>214</v>
      </c>
      <c r="N61" s="28" t="s">
        <v>30</v>
      </c>
      <c r="O61" s="157" t="s">
        <v>113</v>
      </c>
      <c r="P61" s="28" t="s">
        <v>215</v>
      </c>
      <c r="Q61" s="192">
        <v>82.444444444444443</v>
      </c>
    </row>
    <row r="62" spans="1:17" ht="158.4" x14ac:dyDescent="0.25">
      <c r="A62" s="156">
        <v>57</v>
      </c>
      <c r="B62" s="157" t="s">
        <v>264</v>
      </c>
      <c r="C62" s="157" t="s">
        <v>207</v>
      </c>
      <c r="D62" s="157" t="s">
        <v>682</v>
      </c>
      <c r="E62" s="157" t="s">
        <v>266</v>
      </c>
      <c r="F62" s="157" t="s">
        <v>267</v>
      </c>
      <c r="G62" s="157" t="s">
        <v>268</v>
      </c>
      <c r="H62" s="157">
        <v>0</v>
      </c>
      <c r="I62" s="157" t="s">
        <v>269</v>
      </c>
      <c r="J62" s="157">
        <v>0</v>
      </c>
      <c r="K62" s="157" t="s">
        <v>270</v>
      </c>
      <c r="L62" s="52">
        <v>46357</v>
      </c>
      <c r="M62" s="157" t="s">
        <v>242</v>
      </c>
      <c r="N62" s="157" t="s">
        <v>271</v>
      </c>
      <c r="O62" s="157" t="s">
        <v>113</v>
      </c>
      <c r="P62" s="157" t="s">
        <v>272</v>
      </c>
      <c r="Q62" s="192">
        <v>82.25</v>
      </c>
    </row>
    <row r="63" spans="1:17" ht="259.2" x14ac:dyDescent="0.25">
      <c r="A63" s="156">
        <v>58</v>
      </c>
      <c r="B63" s="27" t="s">
        <v>54</v>
      </c>
      <c r="C63" s="27" t="s">
        <v>34</v>
      </c>
      <c r="D63" s="27" t="s">
        <v>55</v>
      </c>
      <c r="E63" s="27" t="s">
        <v>56</v>
      </c>
      <c r="F63" s="27" t="s">
        <v>57</v>
      </c>
      <c r="G63" s="27" t="s">
        <v>58</v>
      </c>
      <c r="H63" s="28" t="s">
        <v>59</v>
      </c>
      <c r="I63" s="27" t="s">
        <v>60</v>
      </c>
      <c r="J63" s="28" t="s">
        <v>61</v>
      </c>
      <c r="K63" s="27" t="s">
        <v>62</v>
      </c>
      <c r="L63" s="46">
        <v>46387</v>
      </c>
      <c r="M63" s="157" t="s">
        <v>29</v>
      </c>
      <c r="N63" s="157" t="s">
        <v>30</v>
      </c>
      <c r="O63" s="27" t="s">
        <v>63</v>
      </c>
      <c r="P63" s="28" t="s">
        <v>64</v>
      </c>
      <c r="Q63" s="66">
        <v>81.111111111111114</v>
      </c>
    </row>
    <row r="64" spans="1:17" ht="244.8" x14ac:dyDescent="0.25">
      <c r="A64" s="156">
        <v>59</v>
      </c>
      <c r="B64" s="27" t="s">
        <v>125</v>
      </c>
      <c r="C64" s="161" t="s">
        <v>34</v>
      </c>
      <c r="D64" s="27" t="s">
        <v>126</v>
      </c>
      <c r="E64" s="27" t="s">
        <v>127</v>
      </c>
      <c r="F64" s="27" t="s">
        <v>128</v>
      </c>
      <c r="G64" s="28" t="s">
        <v>49</v>
      </c>
      <c r="H64" s="28" t="s">
        <v>61</v>
      </c>
      <c r="I64" s="28" t="s">
        <v>129</v>
      </c>
      <c r="J64" s="161" t="s">
        <v>61</v>
      </c>
      <c r="K64" s="27" t="s">
        <v>130</v>
      </c>
      <c r="L64" s="49">
        <v>46174</v>
      </c>
      <c r="M64" s="157" t="s">
        <v>29</v>
      </c>
      <c r="N64" s="157" t="s">
        <v>30</v>
      </c>
      <c r="O64" s="157" t="s">
        <v>31</v>
      </c>
      <c r="P64" s="157" t="s">
        <v>131</v>
      </c>
      <c r="Q64" s="67">
        <v>80.777777777777771</v>
      </c>
    </row>
    <row r="65" spans="1:17" ht="86.4" x14ac:dyDescent="0.25">
      <c r="A65" s="156">
        <v>60</v>
      </c>
      <c r="B65" s="157" t="s">
        <v>142</v>
      </c>
      <c r="C65" s="157" t="s">
        <v>83</v>
      </c>
      <c r="D65" s="157" t="s">
        <v>143</v>
      </c>
      <c r="E65" s="157" t="s">
        <v>144</v>
      </c>
      <c r="F65" s="157" t="s">
        <v>145</v>
      </c>
      <c r="G65" s="157" t="s">
        <v>49</v>
      </c>
      <c r="H65" s="157">
        <v>0</v>
      </c>
      <c r="I65" s="157" t="s">
        <v>146</v>
      </c>
      <c r="J65" s="157" t="s">
        <v>147</v>
      </c>
      <c r="K65" s="157" t="s">
        <v>148</v>
      </c>
      <c r="L65" s="174" t="s">
        <v>83</v>
      </c>
      <c r="M65" s="157" t="s">
        <v>29</v>
      </c>
      <c r="N65" s="157" t="s">
        <v>30</v>
      </c>
      <c r="O65" s="157" t="s">
        <v>31</v>
      </c>
      <c r="P65" s="157" t="s">
        <v>149</v>
      </c>
      <c r="Q65" s="69">
        <v>80.777777777777771</v>
      </c>
    </row>
    <row r="66" spans="1:17" ht="302.39999999999998" x14ac:dyDescent="0.25">
      <c r="A66" s="156">
        <v>61</v>
      </c>
      <c r="B66" s="157" t="s">
        <v>65</v>
      </c>
      <c r="C66" s="157" t="s">
        <v>66</v>
      </c>
      <c r="D66" s="157" t="s">
        <v>67</v>
      </c>
      <c r="E66" s="157" t="s">
        <v>68</v>
      </c>
      <c r="F66" s="157" t="s">
        <v>69</v>
      </c>
      <c r="G66" s="157" t="s">
        <v>70</v>
      </c>
      <c r="H66" s="157">
        <v>99</v>
      </c>
      <c r="I66" s="157" t="s">
        <v>71</v>
      </c>
      <c r="J66" s="157" t="s">
        <v>72</v>
      </c>
      <c r="K66" s="157" t="s">
        <v>73</v>
      </c>
      <c r="L66" s="46">
        <v>46569</v>
      </c>
      <c r="M66" s="157" t="s">
        <v>29</v>
      </c>
      <c r="N66" s="27" t="s">
        <v>30</v>
      </c>
      <c r="O66" s="157" t="s">
        <v>63</v>
      </c>
      <c r="P66" s="157" t="s">
        <v>74</v>
      </c>
      <c r="Q66" s="66">
        <v>80.222222222222229</v>
      </c>
    </row>
    <row r="67" spans="1:17" ht="201.6" x14ac:dyDescent="0.25">
      <c r="A67" s="156">
        <v>62</v>
      </c>
      <c r="B67" s="157" t="s">
        <v>132</v>
      </c>
      <c r="C67" s="157" t="s">
        <v>133</v>
      </c>
      <c r="D67" s="157" t="s">
        <v>134</v>
      </c>
      <c r="E67" s="157" t="s">
        <v>135</v>
      </c>
      <c r="F67" s="157" t="s">
        <v>136</v>
      </c>
      <c r="G67" s="157" t="s">
        <v>49</v>
      </c>
      <c r="H67" s="157">
        <v>0</v>
      </c>
      <c r="I67" s="157" t="s">
        <v>137</v>
      </c>
      <c r="J67" s="157" t="s">
        <v>138</v>
      </c>
      <c r="K67" s="157" t="s">
        <v>139</v>
      </c>
      <c r="L67" s="174" t="s">
        <v>112</v>
      </c>
      <c r="M67" s="157" t="s">
        <v>29</v>
      </c>
      <c r="N67" s="157" t="s">
        <v>30</v>
      </c>
      <c r="O67" s="157" t="s">
        <v>140</v>
      </c>
      <c r="P67" s="28" t="s">
        <v>141</v>
      </c>
      <c r="Q67" s="68">
        <v>78.888888888888886</v>
      </c>
    </row>
    <row r="68" spans="1:17" ht="172.8" x14ac:dyDescent="0.25">
      <c r="A68" s="156">
        <v>63</v>
      </c>
      <c r="B68" s="157" t="s">
        <v>115</v>
      </c>
      <c r="C68" s="157" t="s">
        <v>116</v>
      </c>
      <c r="D68" s="157" t="s">
        <v>117</v>
      </c>
      <c r="E68" s="157" t="s">
        <v>118</v>
      </c>
      <c r="F68" s="157" t="s">
        <v>119</v>
      </c>
      <c r="G68" s="157" t="s">
        <v>49</v>
      </c>
      <c r="H68" s="157">
        <v>0</v>
      </c>
      <c r="I68" s="157" t="s">
        <v>120</v>
      </c>
      <c r="J68" s="157" t="s">
        <v>121</v>
      </c>
      <c r="K68" s="157" t="s">
        <v>122</v>
      </c>
      <c r="L68" s="174" t="s">
        <v>112</v>
      </c>
      <c r="M68" s="157" t="s">
        <v>29</v>
      </c>
      <c r="N68" s="157" t="s">
        <v>30</v>
      </c>
      <c r="O68" s="157" t="s">
        <v>123</v>
      </c>
      <c r="P68" s="28" t="s">
        <v>124</v>
      </c>
      <c r="Q68" s="67">
        <v>78.222222222222229</v>
      </c>
    </row>
  </sheetData>
  <autoFilter ref="A5:XFB68" xr:uid="{55813C34-7514-48F9-A0DD-832DF18E66C0}"/>
  <sortState xmlns:xlrd2="http://schemas.microsoft.com/office/spreadsheetml/2017/richdata2" ref="A7:Q68">
    <sortCondition descending="1" ref="Q6:Q68"/>
  </sortState>
  <mergeCells count="19">
    <mergeCell ref="P4:P5"/>
    <mergeCell ref="Q4:Q5"/>
    <mergeCell ref="R4:R5"/>
    <mergeCell ref="I4:I5"/>
    <mergeCell ref="J4:K4"/>
    <mergeCell ref="L4:L5"/>
    <mergeCell ref="M4:M5"/>
    <mergeCell ref="N4:N5"/>
    <mergeCell ref="O4:O5"/>
    <mergeCell ref="A1:Q1"/>
    <mergeCell ref="A2:Q2"/>
    <mergeCell ref="A3:Q3"/>
    <mergeCell ref="A4:A5"/>
    <mergeCell ref="B4:B5"/>
    <mergeCell ref="C4:C5"/>
    <mergeCell ref="D4:D5"/>
    <mergeCell ref="E4:E5"/>
    <mergeCell ref="F4:F5"/>
    <mergeCell ref="G4:G5"/>
  </mergeCells>
  <phoneticPr fontId="4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3"/>
  <sheetViews>
    <sheetView topLeftCell="A4" workbookViewId="0">
      <selection activeCell="C14" sqref="C14"/>
    </sheetView>
  </sheetViews>
  <sheetFormatPr defaultColWidth="9" defaultRowHeight="14.4" x14ac:dyDescent="0.25"/>
  <cols>
    <col min="2" max="2" width="41" style="1" customWidth="1"/>
    <col min="3" max="3" width="52" customWidth="1"/>
    <col min="4" max="4" width="35.6640625" customWidth="1"/>
  </cols>
  <sheetData>
    <row r="1" spans="1:4" ht="30" customHeight="1" x14ac:dyDescent="0.25">
      <c r="A1" s="132" t="s">
        <v>601</v>
      </c>
      <c r="B1" s="133"/>
      <c r="C1" s="132"/>
      <c r="D1" s="132"/>
    </row>
    <row r="2" spans="1:4" ht="15" customHeight="1" x14ac:dyDescent="0.25">
      <c r="A2" s="2" t="s">
        <v>602</v>
      </c>
      <c r="B2" s="2" t="s">
        <v>603</v>
      </c>
      <c r="C2" s="2" t="s">
        <v>604</v>
      </c>
      <c r="D2" s="2" t="s">
        <v>605</v>
      </c>
    </row>
    <row r="3" spans="1:4" ht="15" customHeight="1" x14ac:dyDescent="0.25">
      <c r="A3" s="137" t="s">
        <v>606</v>
      </c>
      <c r="B3" s="139" t="s">
        <v>607</v>
      </c>
      <c r="C3" s="140" t="s">
        <v>608</v>
      </c>
      <c r="D3" s="141" t="s">
        <v>609</v>
      </c>
    </row>
    <row r="4" spans="1:4" ht="13.05" customHeight="1" x14ac:dyDescent="0.25">
      <c r="A4" s="137"/>
      <c r="B4" s="139"/>
      <c r="C4" s="140"/>
      <c r="D4" s="141"/>
    </row>
    <row r="5" spans="1:4" ht="25.95" customHeight="1" x14ac:dyDescent="0.25">
      <c r="A5" s="137"/>
      <c r="B5" s="139"/>
      <c r="C5" s="3" t="s">
        <v>610</v>
      </c>
      <c r="D5" s="4" t="s">
        <v>611</v>
      </c>
    </row>
    <row r="6" spans="1:4" ht="39" customHeight="1" x14ac:dyDescent="0.25">
      <c r="A6" s="137"/>
      <c r="B6" s="139"/>
      <c r="C6" s="3" t="s">
        <v>612</v>
      </c>
      <c r="D6" s="5" t="s">
        <v>613</v>
      </c>
    </row>
    <row r="7" spans="1:4" ht="24" customHeight="1" x14ac:dyDescent="0.25">
      <c r="A7" s="137"/>
      <c r="B7" s="139"/>
      <c r="C7" s="3" t="s">
        <v>614</v>
      </c>
      <c r="D7" s="5" t="s">
        <v>615</v>
      </c>
    </row>
    <row r="8" spans="1:4" ht="37.049999999999997" customHeight="1" x14ac:dyDescent="0.25">
      <c r="A8" s="138"/>
      <c r="B8" s="140"/>
      <c r="C8" s="3" t="s">
        <v>616</v>
      </c>
      <c r="D8" s="5" t="s">
        <v>617</v>
      </c>
    </row>
    <row r="9" spans="1:4" ht="34.950000000000003" customHeight="1" x14ac:dyDescent="0.25">
      <c r="A9" s="137" t="s">
        <v>618</v>
      </c>
      <c r="B9" s="139" t="s">
        <v>619</v>
      </c>
      <c r="C9" s="3" t="s">
        <v>620</v>
      </c>
      <c r="D9" s="5" t="s">
        <v>621</v>
      </c>
    </row>
    <row r="10" spans="1:4" ht="33" customHeight="1" x14ac:dyDescent="0.25">
      <c r="A10" s="137"/>
      <c r="B10" s="139"/>
      <c r="C10" s="3" t="s">
        <v>622</v>
      </c>
      <c r="D10" s="4" t="s">
        <v>611</v>
      </c>
    </row>
    <row r="11" spans="1:4" ht="27" customHeight="1" x14ac:dyDescent="0.25">
      <c r="A11" s="137"/>
      <c r="B11" s="139"/>
      <c r="C11" s="3" t="s">
        <v>623</v>
      </c>
      <c r="D11" s="5" t="s">
        <v>613</v>
      </c>
    </row>
    <row r="12" spans="1:4" ht="24" customHeight="1" x14ac:dyDescent="0.25">
      <c r="A12" s="137"/>
      <c r="B12" s="139"/>
      <c r="C12" s="3" t="s">
        <v>624</v>
      </c>
      <c r="D12" s="5" t="s">
        <v>615</v>
      </c>
    </row>
    <row r="13" spans="1:4" ht="24" customHeight="1" x14ac:dyDescent="0.25">
      <c r="A13" s="138"/>
      <c r="B13" s="140"/>
      <c r="C13" s="3" t="s">
        <v>625</v>
      </c>
      <c r="D13" s="5" t="s">
        <v>617</v>
      </c>
    </row>
    <row r="14" spans="1:4" ht="28.05" customHeight="1" x14ac:dyDescent="0.25">
      <c r="A14" s="137" t="s">
        <v>626</v>
      </c>
      <c r="B14" s="139" t="s">
        <v>627</v>
      </c>
      <c r="C14" s="6" t="s">
        <v>628</v>
      </c>
      <c r="D14" s="4" t="s">
        <v>629</v>
      </c>
    </row>
    <row r="15" spans="1:4" ht="28.05" customHeight="1" x14ac:dyDescent="0.25">
      <c r="A15" s="137"/>
      <c r="B15" s="139"/>
      <c r="C15" s="3" t="s">
        <v>630</v>
      </c>
      <c r="D15" s="5" t="s">
        <v>631</v>
      </c>
    </row>
    <row r="16" spans="1:4" ht="28.05" customHeight="1" x14ac:dyDescent="0.25">
      <c r="A16" s="137"/>
      <c r="B16" s="139"/>
      <c r="C16" s="3" t="s">
        <v>632</v>
      </c>
      <c r="D16" s="5" t="s">
        <v>633</v>
      </c>
    </row>
    <row r="17" spans="1:4" ht="28.05" customHeight="1" x14ac:dyDescent="0.25">
      <c r="A17" s="138"/>
      <c r="B17" s="140"/>
      <c r="C17" s="3" t="s">
        <v>634</v>
      </c>
      <c r="D17" s="5" t="s">
        <v>635</v>
      </c>
    </row>
    <row r="18" spans="1:4" ht="31.95" customHeight="1" x14ac:dyDescent="0.25">
      <c r="A18" s="137" t="s">
        <v>636</v>
      </c>
      <c r="B18" s="139" t="s">
        <v>637</v>
      </c>
      <c r="C18" s="6" t="s">
        <v>638</v>
      </c>
      <c r="D18" s="4" t="s">
        <v>639</v>
      </c>
    </row>
    <row r="19" spans="1:4" ht="39" customHeight="1" x14ac:dyDescent="0.25">
      <c r="A19" s="137"/>
      <c r="B19" s="139"/>
      <c r="C19" s="3" t="s">
        <v>640</v>
      </c>
      <c r="D19" s="5" t="s">
        <v>641</v>
      </c>
    </row>
    <row r="20" spans="1:4" ht="31.05" customHeight="1" x14ac:dyDescent="0.25">
      <c r="A20" s="138"/>
      <c r="B20" s="140"/>
      <c r="C20" s="3" t="s">
        <v>642</v>
      </c>
      <c r="D20" s="5" t="s">
        <v>643</v>
      </c>
    </row>
    <row r="21" spans="1:4" ht="15" customHeight="1" x14ac:dyDescent="0.25">
      <c r="A21" s="134" t="s">
        <v>644</v>
      </c>
      <c r="B21" s="135"/>
      <c r="C21" s="134"/>
      <c r="D21" s="134"/>
    </row>
    <row r="22" spans="1:4" ht="34.049999999999997" customHeight="1" x14ac:dyDescent="0.25">
      <c r="A22" s="136" t="s">
        <v>645</v>
      </c>
      <c r="B22" s="136"/>
      <c r="C22" s="136"/>
      <c r="D22" s="136"/>
    </row>
    <row r="23" spans="1:4" ht="45" customHeight="1" x14ac:dyDescent="0.25">
      <c r="A23" s="136" t="s">
        <v>646</v>
      </c>
      <c r="B23" s="136"/>
      <c r="C23" s="136"/>
      <c r="D23" s="136"/>
    </row>
  </sheetData>
  <mergeCells count="14">
    <mergeCell ref="A1:D1"/>
    <mergeCell ref="A21:D21"/>
    <mergeCell ref="A22:D22"/>
    <mergeCell ref="A23:D23"/>
    <mergeCell ref="A3:A8"/>
    <mergeCell ref="A9:A13"/>
    <mergeCell ref="A14:A17"/>
    <mergeCell ref="A18:A20"/>
    <mergeCell ref="B3:B8"/>
    <mergeCell ref="B9:B13"/>
    <mergeCell ref="B14:B17"/>
    <mergeCell ref="B18:B20"/>
    <mergeCell ref="C3:C4"/>
    <mergeCell ref="D3:D4"/>
  </mergeCells>
  <phoneticPr fontId="3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XFB68"/>
  <sheetViews>
    <sheetView zoomScale="70" zoomScaleNormal="70" workbookViewId="0">
      <pane xSplit="5" ySplit="5" topLeftCell="F45" activePane="bottomRight" state="frozen"/>
      <selection pane="topRight" activeCell="F1" sqref="F1"/>
      <selection pane="bottomLeft" activeCell="A6" sqref="A6"/>
      <selection pane="bottomRight" activeCell="K26" sqref="K26"/>
    </sheetView>
  </sheetViews>
  <sheetFormatPr defaultColWidth="9" defaultRowHeight="60" customHeight="1" x14ac:dyDescent="0.25"/>
  <cols>
    <col min="1" max="1" width="9" style="20"/>
    <col min="2" max="2" width="22.6640625" style="21" customWidth="1"/>
    <col min="3" max="3" width="15.6640625" style="20" customWidth="1"/>
    <col min="4" max="4" width="34.77734375" style="20" customWidth="1"/>
    <col min="5" max="5" width="46.77734375" style="20" customWidth="1"/>
    <col min="6" max="6" width="42.33203125" style="20" customWidth="1"/>
    <col min="7" max="7" width="20.21875" style="20" hidden="1" customWidth="1"/>
    <col min="8" max="8" width="11.44140625" style="20" hidden="1" customWidth="1"/>
    <col min="9" max="9" width="18" style="20" hidden="1" customWidth="1"/>
    <col min="10" max="10" width="18.77734375" style="20" customWidth="1"/>
    <col min="11" max="11" width="31.5546875" style="20" customWidth="1"/>
    <col min="12" max="12" width="22.21875" style="20" hidden="1" customWidth="1"/>
    <col min="13" max="14" width="9" style="20" hidden="1" customWidth="1"/>
    <col min="15" max="15" width="14.33203125" style="20" hidden="1" customWidth="1"/>
    <col min="16" max="16" width="16.6640625" style="1" customWidth="1"/>
    <col min="17" max="17" width="18" style="102" customWidth="1"/>
    <col min="18" max="19" width="9" style="20"/>
    <col min="20" max="20" width="37.44140625" style="20" customWidth="1"/>
    <col min="21" max="16382" width="9" style="20"/>
  </cols>
  <sheetData>
    <row r="1" spans="1:59" customFormat="1" ht="32.4" customHeight="1" x14ac:dyDescent="0.25">
      <c r="A1" s="110" t="s">
        <v>0</v>
      </c>
      <c r="B1" s="111"/>
      <c r="C1" s="111"/>
      <c r="D1" s="111"/>
      <c r="E1" s="111"/>
      <c r="F1" s="111"/>
      <c r="G1" s="111"/>
      <c r="H1" s="111"/>
      <c r="I1" s="111"/>
      <c r="J1" s="111"/>
      <c r="K1" s="111"/>
      <c r="L1" s="111"/>
      <c r="M1" s="111"/>
      <c r="N1" s="111"/>
      <c r="O1" s="111"/>
      <c r="P1" s="111"/>
      <c r="Q1" s="112"/>
    </row>
    <row r="2" spans="1:59" s="7" customFormat="1" ht="23.4" customHeight="1" x14ac:dyDescent="0.25">
      <c r="A2" s="113" t="s">
        <v>648</v>
      </c>
      <c r="B2" s="114"/>
      <c r="C2" s="114"/>
      <c r="D2" s="114"/>
      <c r="E2" s="114"/>
      <c r="F2" s="114"/>
      <c r="G2" s="114"/>
      <c r="H2" s="114"/>
      <c r="I2" s="114"/>
      <c r="J2" s="114"/>
      <c r="K2" s="114"/>
      <c r="L2" s="114"/>
      <c r="M2" s="114"/>
      <c r="N2" s="114"/>
      <c r="O2" s="114"/>
      <c r="P2" s="114"/>
      <c r="Q2" s="115"/>
    </row>
    <row r="3" spans="1:59" customFormat="1" ht="87.6" customHeight="1" x14ac:dyDescent="0.25">
      <c r="A3" s="116" t="s">
        <v>647</v>
      </c>
      <c r="B3" s="117"/>
      <c r="C3" s="117"/>
      <c r="D3" s="117"/>
      <c r="E3" s="117"/>
      <c r="F3" s="117"/>
      <c r="G3" s="117"/>
      <c r="H3" s="117"/>
      <c r="I3" s="117"/>
      <c r="J3" s="117"/>
      <c r="K3" s="117"/>
      <c r="L3" s="117"/>
      <c r="M3" s="117"/>
      <c r="N3" s="117"/>
      <c r="O3" s="117"/>
      <c r="P3" s="117"/>
      <c r="Q3" s="118"/>
    </row>
    <row r="4" spans="1:59" s="8" customFormat="1" ht="60" customHeight="1" x14ac:dyDescent="0.25">
      <c r="A4" s="121" t="s">
        <v>650</v>
      </c>
      <c r="B4" s="123" t="s">
        <v>2</v>
      </c>
      <c r="C4" s="123" t="s">
        <v>3</v>
      </c>
      <c r="D4" s="123" t="s">
        <v>4</v>
      </c>
      <c r="E4" s="123" t="s">
        <v>5</v>
      </c>
      <c r="F4" s="123" t="s">
        <v>6</v>
      </c>
      <c r="G4" s="123" t="s">
        <v>7</v>
      </c>
      <c r="H4" s="22" t="s">
        <v>8</v>
      </c>
      <c r="I4" s="123" t="s">
        <v>9</v>
      </c>
      <c r="J4" s="119" t="s">
        <v>10</v>
      </c>
      <c r="K4" s="120"/>
      <c r="L4" s="124" t="s">
        <v>11</v>
      </c>
      <c r="M4" s="126" t="s">
        <v>12</v>
      </c>
      <c r="N4" s="126" t="s">
        <v>13</v>
      </c>
      <c r="O4" s="126" t="s">
        <v>14</v>
      </c>
      <c r="P4" s="126" t="s">
        <v>15</v>
      </c>
      <c r="Q4" s="128" t="s">
        <v>16</v>
      </c>
      <c r="R4" s="109"/>
    </row>
    <row r="5" spans="1:59" s="8" customFormat="1" ht="60" customHeight="1" x14ac:dyDescent="0.25">
      <c r="A5" s="122"/>
      <c r="B5" s="122"/>
      <c r="C5" s="122"/>
      <c r="D5" s="122"/>
      <c r="E5" s="122"/>
      <c r="F5" s="122"/>
      <c r="G5" s="122"/>
      <c r="H5" s="22" t="s">
        <v>17</v>
      </c>
      <c r="I5" s="122"/>
      <c r="J5" s="22" t="s">
        <v>18</v>
      </c>
      <c r="K5" s="22" t="s">
        <v>19</v>
      </c>
      <c r="L5" s="125"/>
      <c r="M5" s="127"/>
      <c r="N5" s="127"/>
      <c r="O5" s="127"/>
      <c r="P5" s="127"/>
      <c r="Q5" s="129"/>
      <c r="R5" s="109"/>
    </row>
    <row r="6" spans="1:59" s="9" customFormat="1" ht="79.95" customHeight="1" x14ac:dyDescent="0.25">
      <c r="A6" s="108">
        <v>1</v>
      </c>
      <c r="B6" s="24" t="s">
        <v>85</v>
      </c>
      <c r="C6" s="24" t="s">
        <v>83</v>
      </c>
      <c r="D6" s="24" t="s">
        <v>86</v>
      </c>
      <c r="E6" s="24" t="s">
        <v>87</v>
      </c>
      <c r="F6" s="24" t="s">
        <v>88</v>
      </c>
      <c r="G6" s="24" t="s">
        <v>49</v>
      </c>
      <c r="H6" s="24">
        <v>0</v>
      </c>
      <c r="I6" s="24" t="s">
        <v>89</v>
      </c>
      <c r="J6" s="24" t="s">
        <v>90</v>
      </c>
      <c r="K6" s="24" t="s">
        <v>91</v>
      </c>
      <c r="L6" s="24" t="s">
        <v>92</v>
      </c>
      <c r="M6" s="24" t="s">
        <v>93</v>
      </c>
      <c r="N6" s="27" t="s">
        <v>30</v>
      </c>
      <c r="O6" s="41" t="s">
        <v>31</v>
      </c>
      <c r="P6" s="24" t="s">
        <v>94</v>
      </c>
      <c r="Q6" s="103">
        <v>89.888888888888886</v>
      </c>
    </row>
    <row r="7" spans="1:59" s="10" customFormat="1" ht="79.95" hidden="1" customHeight="1" x14ac:dyDescent="0.25">
      <c r="A7" s="108">
        <v>2</v>
      </c>
      <c r="B7" s="24" t="s">
        <v>355</v>
      </c>
      <c r="C7" s="24" t="s">
        <v>83</v>
      </c>
      <c r="D7" s="24" t="s">
        <v>356</v>
      </c>
      <c r="E7" s="24" t="s">
        <v>357</v>
      </c>
      <c r="F7" s="24" t="s">
        <v>358</v>
      </c>
      <c r="G7" s="24" t="s">
        <v>359</v>
      </c>
      <c r="H7" s="24">
        <v>0</v>
      </c>
      <c r="I7" s="24" t="s">
        <v>360</v>
      </c>
      <c r="J7" s="24" t="s">
        <v>361</v>
      </c>
      <c r="K7" s="24" t="s">
        <v>362</v>
      </c>
      <c r="L7" s="55">
        <v>46082</v>
      </c>
      <c r="M7" s="24" t="s">
        <v>29</v>
      </c>
      <c r="N7" s="24" t="s">
        <v>30</v>
      </c>
      <c r="O7" s="41" t="s">
        <v>233</v>
      </c>
      <c r="P7" s="24" t="s">
        <v>363</v>
      </c>
      <c r="Q7" s="104">
        <v>89.888888888888886</v>
      </c>
    </row>
    <row r="8" spans="1:59" s="11" customFormat="1" ht="79.95" hidden="1" customHeight="1" x14ac:dyDescent="0.25">
      <c r="A8" s="108">
        <v>3</v>
      </c>
      <c r="B8" s="24" t="s">
        <v>574</v>
      </c>
      <c r="C8" s="24" t="s">
        <v>83</v>
      </c>
      <c r="D8" s="24" t="s">
        <v>575</v>
      </c>
      <c r="E8" s="24" t="s">
        <v>576</v>
      </c>
      <c r="F8" s="24" t="s">
        <v>577</v>
      </c>
      <c r="G8" s="24" t="s">
        <v>83</v>
      </c>
      <c r="H8" s="24">
        <v>0.2</v>
      </c>
      <c r="I8" s="24" t="s">
        <v>578</v>
      </c>
      <c r="J8" s="24" t="s">
        <v>579</v>
      </c>
      <c r="K8" s="24" t="s">
        <v>580</v>
      </c>
      <c r="L8" s="24" t="s">
        <v>83</v>
      </c>
      <c r="M8" s="24" t="s">
        <v>214</v>
      </c>
      <c r="N8" s="24" t="s">
        <v>30</v>
      </c>
      <c r="O8" s="101" t="s">
        <v>31</v>
      </c>
      <c r="P8" s="24" t="s">
        <v>581</v>
      </c>
      <c r="Q8" s="104">
        <v>89.666666666666671</v>
      </c>
    </row>
    <row r="9" spans="1:59" s="12" customFormat="1" ht="79.95" hidden="1" customHeight="1" x14ac:dyDescent="0.25">
      <c r="A9" s="108">
        <v>4</v>
      </c>
      <c r="B9" s="24" t="s">
        <v>338</v>
      </c>
      <c r="C9" s="24" t="s">
        <v>83</v>
      </c>
      <c r="D9" s="24" t="s">
        <v>339</v>
      </c>
      <c r="E9" s="24" t="s">
        <v>340</v>
      </c>
      <c r="F9" s="24" t="s">
        <v>341</v>
      </c>
      <c r="G9" s="25" t="s">
        <v>342</v>
      </c>
      <c r="H9" s="24">
        <v>0</v>
      </c>
      <c r="I9" s="24" t="s">
        <v>343</v>
      </c>
      <c r="J9" s="24" t="s">
        <v>61</v>
      </c>
      <c r="K9" s="24" t="s">
        <v>344</v>
      </c>
      <c r="L9" s="24" t="s">
        <v>83</v>
      </c>
      <c r="M9" s="24" t="s">
        <v>29</v>
      </c>
      <c r="N9" s="24" t="s">
        <v>30</v>
      </c>
      <c r="O9" s="41" t="s">
        <v>31</v>
      </c>
      <c r="P9" s="24" t="s">
        <v>345</v>
      </c>
      <c r="Q9" s="105">
        <v>89.444444444444443</v>
      </c>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65"/>
    </row>
    <row r="10" spans="1:59" s="9" customFormat="1" ht="79.95" hidden="1" customHeight="1" x14ac:dyDescent="0.25">
      <c r="A10" s="108">
        <v>5</v>
      </c>
      <c r="B10" s="24" t="s">
        <v>434</v>
      </c>
      <c r="C10" s="24" t="s">
        <v>435</v>
      </c>
      <c r="D10" s="24" t="s">
        <v>436</v>
      </c>
      <c r="E10" s="24" t="s">
        <v>437</v>
      </c>
      <c r="F10" s="24" t="s">
        <v>438</v>
      </c>
      <c r="G10" s="24" t="s">
        <v>439</v>
      </c>
      <c r="H10" s="24">
        <v>0</v>
      </c>
      <c r="I10" s="24" t="s">
        <v>440</v>
      </c>
      <c r="J10" s="24" t="s">
        <v>441</v>
      </c>
      <c r="K10" s="24" t="s">
        <v>442</v>
      </c>
      <c r="L10" s="44">
        <v>46386</v>
      </c>
      <c r="M10" s="24" t="s">
        <v>29</v>
      </c>
      <c r="N10" s="24" t="s">
        <v>30</v>
      </c>
      <c r="O10" s="41" t="s">
        <v>254</v>
      </c>
      <c r="P10" s="24" t="s">
        <v>443</v>
      </c>
      <c r="Q10" s="104">
        <v>88.888888888888886</v>
      </c>
    </row>
    <row r="11" spans="1:59" s="9" customFormat="1" ht="79.95" hidden="1" customHeight="1" x14ac:dyDescent="0.25">
      <c r="A11" s="108">
        <v>6</v>
      </c>
      <c r="B11" s="24" t="s">
        <v>444</v>
      </c>
      <c r="C11" s="24" t="s">
        <v>445</v>
      </c>
      <c r="D11" s="24" t="s">
        <v>446</v>
      </c>
      <c r="E11" s="24" t="s">
        <v>447</v>
      </c>
      <c r="F11" s="24" t="s">
        <v>448</v>
      </c>
      <c r="G11" s="24" t="s">
        <v>449</v>
      </c>
      <c r="H11" s="24">
        <v>0</v>
      </c>
      <c r="I11" s="24" t="s">
        <v>450</v>
      </c>
      <c r="J11" s="24" t="s">
        <v>451</v>
      </c>
      <c r="K11" s="24" t="s">
        <v>452</v>
      </c>
      <c r="L11" s="44">
        <v>46295</v>
      </c>
      <c r="M11" s="24" t="s">
        <v>29</v>
      </c>
      <c r="N11" s="24" t="s">
        <v>30</v>
      </c>
      <c r="O11" s="41" t="s">
        <v>453</v>
      </c>
      <c r="P11" s="24" t="s">
        <v>454</v>
      </c>
      <c r="Q11" s="104">
        <v>88.444444444444443</v>
      </c>
    </row>
    <row r="12" spans="1:59" s="13" customFormat="1" ht="79.95" hidden="1" customHeight="1" x14ac:dyDescent="0.25">
      <c r="A12" s="108">
        <v>7</v>
      </c>
      <c r="B12" s="24" t="s">
        <v>383</v>
      </c>
      <c r="C12" s="24" t="s">
        <v>83</v>
      </c>
      <c r="D12" s="24" t="s">
        <v>384</v>
      </c>
      <c r="E12" s="24" t="s">
        <v>385</v>
      </c>
      <c r="F12" s="24" t="s">
        <v>386</v>
      </c>
      <c r="G12" s="24" t="s">
        <v>359</v>
      </c>
      <c r="H12" s="24">
        <v>0</v>
      </c>
      <c r="I12" s="24" t="s">
        <v>387</v>
      </c>
      <c r="J12" s="24" t="s">
        <v>388</v>
      </c>
      <c r="K12" s="24" t="s">
        <v>389</v>
      </c>
      <c r="L12" s="55">
        <v>46082</v>
      </c>
      <c r="M12" s="24" t="s">
        <v>29</v>
      </c>
      <c r="N12" s="24" t="s">
        <v>30</v>
      </c>
      <c r="O12" s="41" t="s">
        <v>31</v>
      </c>
      <c r="P12" s="24" t="s">
        <v>390</v>
      </c>
      <c r="Q12" s="104">
        <v>88.222222222222229</v>
      </c>
    </row>
    <row r="13" spans="1:59" s="14" customFormat="1" ht="79.95" hidden="1" customHeight="1" x14ac:dyDescent="0.25">
      <c r="A13" s="108">
        <v>8</v>
      </c>
      <c r="B13" s="24" t="s">
        <v>415</v>
      </c>
      <c r="C13" s="24" t="s">
        <v>416</v>
      </c>
      <c r="D13" s="24" t="s">
        <v>417</v>
      </c>
      <c r="E13" s="24" t="s">
        <v>418</v>
      </c>
      <c r="F13" s="24" t="s">
        <v>419</v>
      </c>
      <c r="G13" s="24" t="s">
        <v>83</v>
      </c>
      <c r="H13" s="24">
        <v>0</v>
      </c>
      <c r="I13" s="24" t="s">
        <v>420</v>
      </c>
      <c r="J13" s="24" t="s">
        <v>421</v>
      </c>
      <c r="K13" s="24" t="s">
        <v>422</v>
      </c>
      <c r="L13" s="44">
        <v>46038</v>
      </c>
      <c r="M13" s="24" t="s">
        <v>29</v>
      </c>
      <c r="N13" s="24" t="s">
        <v>30</v>
      </c>
      <c r="O13" s="41" t="s">
        <v>42</v>
      </c>
      <c r="P13" s="24" t="s">
        <v>423</v>
      </c>
      <c r="Q13" s="104">
        <v>88.222222222222229</v>
      </c>
    </row>
    <row r="14" spans="1:59" s="15" customFormat="1" ht="79.95" hidden="1" customHeight="1" x14ac:dyDescent="0.25">
      <c r="A14" s="108">
        <v>9</v>
      </c>
      <c r="B14" s="24" t="s">
        <v>391</v>
      </c>
      <c r="C14" s="24" t="s">
        <v>83</v>
      </c>
      <c r="D14" s="24" t="s">
        <v>392</v>
      </c>
      <c r="E14" s="24" t="s">
        <v>393</v>
      </c>
      <c r="F14" s="24" t="s">
        <v>394</v>
      </c>
      <c r="G14" s="24" t="s">
        <v>359</v>
      </c>
      <c r="H14" s="24">
        <v>0</v>
      </c>
      <c r="I14" s="24" t="s">
        <v>395</v>
      </c>
      <c r="J14" s="24" t="s">
        <v>396</v>
      </c>
      <c r="K14" s="24" t="s">
        <v>397</v>
      </c>
      <c r="L14" s="55">
        <v>46082</v>
      </c>
      <c r="M14" s="24" t="s">
        <v>29</v>
      </c>
      <c r="N14" s="24" t="s">
        <v>30</v>
      </c>
      <c r="O14" s="41" t="s">
        <v>63</v>
      </c>
      <c r="P14" s="24" t="s">
        <v>398</v>
      </c>
      <c r="Q14" s="104">
        <v>88</v>
      </c>
    </row>
    <row r="15" spans="1:59" s="16" customFormat="1" ht="79.95" hidden="1" customHeight="1" x14ac:dyDescent="0.25">
      <c r="A15" s="108">
        <v>10</v>
      </c>
      <c r="B15" s="24" t="s">
        <v>245</v>
      </c>
      <c r="C15" s="24" t="s">
        <v>207</v>
      </c>
      <c r="D15" s="24" t="s">
        <v>246</v>
      </c>
      <c r="E15" s="24" t="s">
        <v>247</v>
      </c>
      <c r="F15" s="24" t="s">
        <v>248</v>
      </c>
      <c r="G15" s="38">
        <v>46204</v>
      </c>
      <c r="H15" s="24">
        <v>0</v>
      </c>
      <c r="I15" s="24" t="s">
        <v>249</v>
      </c>
      <c r="J15" s="24" t="s">
        <v>250</v>
      </c>
      <c r="K15" s="24" t="s">
        <v>251</v>
      </c>
      <c r="L15" s="52">
        <v>46204</v>
      </c>
      <c r="M15" s="24" t="s">
        <v>252</v>
      </c>
      <c r="N15" s="24" t="s">
        <v>253</v>
      </c>
      <c r="O15" s="41" t="s">
        <v>254</v>
      </c>
      <c r="P15" s="24" t="s">
        <v>255</v>
      </c>
      <c r="Q15" s="103">
        <v>87.888888888888886</v>
      </c>
      <c r="T15" s="61"/>
    </row>
    <row r="16" spans="1:59" s="17" customFormat="1" ht="79.95" hidden="1" customHeight="1" x14ac:dyDescent="0.25">
      <c r="A16" s="108">
        <v>11</v>
      </c>
      <c r="B16" s="79" t="s">
        <v>235</v>
      </c>
      <c r="C16" s="40" t="s">
        <v>207</v>
      </c>
      <c r="D16" s="79" t="s">
        <v>236</v>
      </c>
      <c r="E16" s="79" t="s">
        <v>237</v>
      </c>
      <c r="F16" s="79" t="s">
        <v>238</v>
      </c>
      <c r="G16" s="84">
        <v>46204</v>
      </c>
      <c r="H16" s="79">
        <v>0</v>
      </c>
      <c r="I16" s="79" t="s">
        <v>239</v>
      </c>
      <c r="J16" s="79" t="s">
        <v>240</v>
      </c>
      <c r="K16" s="79" t="s">
        <v>241</v>
      </c>
      <c r="L16" s="52">
        <v>46204</v>
      </c>
      <c r="M16" s="40" t="s">
        <v>242</v>
      </c>
      <c r="N16" s="24" t="s">
        <v>243</v>
      </c>
      <c r="O16" s="41" t="s">
        <v>113</v>
      </c>
      <c r="P16" s="24" t="s">
        <v>244</v>
      </c>
      <c r="Q16" s="103">
        <v>87.777777777777771</v>
      </c>
    </row>
    <row r="17" spans="1:126" s="10" customFormat="1" ht="79.95" hidden="1" customHeight="1" x14ac:dyDescent="0.25">
      <c r="A17" s="108">
        <v>12</v>
      </c>
      <c r="B17" s="24" t="s">
        <v>374</v>
      </c>
      <c r="C17" s="24" t="s">
        <v>83</v>
      </c>
      <c r="D17" s="24" t="s">
        <v>375</v>
      </c>
      <c r="E17" s="24" t="s">
        <v>376</v>
      </c>
      <c r="F17" s="24" t="s">
        <v>377</v>
      </c>
      <c r="G17" s="24" t="s">
        <v>359</v>
      </c>
      <c r="H17" s="24">
        <v>0</v>
      </c>
      <c r="I17" s="24" t="s">
        <v>378</v>
      </c>
      <c r="J17" s="24" t="s">
        <v>379</v>
      </c>
      <c r="K17" s="24" t="s">
        <v>380</v>
      </c>
      <c r="L17" s="24" t="s">
        <v>92</v>
      </c>
      <c r="M17" s="24" t="s">
        <v>29</v>
      </c>
      <c r="N17" s="24" t="s">
        <v>30</v>
      </c>
      <c r="O17" s="41" t="s">
        <v>381</v>
      </c>
      <c r="P17" s="24" t="s">
        <v>382</v>
      </c>
      <c r="Q17" s="104">
        <v>87.666666666666671</v>
      </c>
    </row>
    <row r="18" spans="1:126" s="18" customFormat="1" ht="79.95" hidden="1" customHeight="1" x14ac:dyDescent="0.25">
      <c r="A18" s="108">
        <v>13</v>
      </c>
      <c r="B18" s="24" t="s">
        <v>491</v>
      </c>
      <c r="C18" s="24" t="s">
        <v>66</v>
      </c>
      <c r="D18" s="24" t="s">
        <v>492</v>
      </c>
      <c r="E18" s="24" t="s">
        <v>493</v>
      </c>
      <c r="F18" s="24" t="s">
        <v>494</v>
      </c>
      <c r="G18" s="24" t="s">
        <v>495</v>
      </c>
      <c r="H18" s="24">
        <v>0</v>
      </c>
      <c r="I18" s="24" t="s">
        <v>495</v>
      </c>
      <c r="J18" s="24" t="s">
        <v>496</v>
      </c>
      <c r="K18" s="24" t="s">
        <v>497</v>
      </c>
      <c r="L18" s="44">
        <v>46265</v>
      </c>
      <c r="M18" s="24" t="s">
        <v>29</v>
      </c>
      <c r="N18" s="24" t="s">
        <v>30</v>
      </c>
      <c r="O18" s="41" t="s">
        <v>498</v>
      </c>
      <c r="P18" s="24" t="s">
        <v>499</v>
      </c>
      <c r="Q18" s="104">
        <v>87.666666666666671</v>
      </c>
    </row>
    <row r="19" spans="1:126" s="16" customFormat="1" ht="79.95" hidden="1" customHeight="1" x14ac:dyDescent="0.25">
      <c r="A19" s="108">
        <v>14</v>
      </c>
      <c r="B19" s="24" t="s">
        <v>455</v>
      </c>
      <c r="C19" s="24" t="s">
        <v>66</v>
      </c>
      <c r="D19" s="24" t="s">
        <v>456</v>
      </c>
      <c r="E19" s="24" t="s">
        <v>457</v>
      </c>
      <c r="F19" s="24" t="s">
        <v>458</v>
      </c>
      <c r="G19" s="24" t="s">
        <v>459</v>
      </c>
      <c r="H19" s="24">
        <v>0</v>
      </c>
      <c r="I19" s="24" t="s">
        <v>460</v>
      </c>
      <c r="J19" s="43" t="s">
        <v>461</v>
      </c>
      <c r="K19" s="43" t="s">
        <v>462</v>
      </c>
      <c r="L19" s="44">
        <v>46295</v>
      </c>
      <c r="M19" s="50" t="s">
        <v>29</v>
      </c>
      <c r="N19" s="24" t="s">
        <v>30</v>
      </c>
      <c r="O19" s="51" t="s">
        <v>31</v>
      </c>
      <c r="P19" s="24" t="s">
        <v>463</v>
      </c>
      <c r="Q19" s="104">
        <v>87.555555555555557</v>
      </c>
    </row>
    <row r="20" spans="1:126" s="9" customFormat="1" ht="79.95" hidden="1" customHeight="1" x14ac:dyDescent="0.25">
      <c r="A20" s="108">
        <v>15</v>
      </c>
      <c r="B20" s="39" t="s">
        <v>294</v>
      </c>
      <c r="C20" s="39" t="s">
        <v>285</v>
      </c>
      <c r="D20" s="39" t="s">
        <v>295</v>
      </c>
      <c r="E20" s="39" t="s">
        <v>296</v>
      </c>
      <c r="F20" s="39" t="s">
        <v>297</v>
      </c>
      <c r="G20" s="39" t="s">
        <v>49</v>
      </c>
      <c r="H20" s="39">
        <v>0</v>
      </c>
      <c r="I20" s="39" t="s">
        <v>298</v>
      </c>
      <c r="J20" s="39" t="s">
        <v>299</v>
      </c>
      <c r="K20" s="39" t="s">
        <v>300</v>
      </c>
      <c r="L20" s="93">
        <v>46203</v>
      </c>
      <c r="M20" s="39" t="s">
        <v>29</v>
      </c>
      <c r="N20" s="39" t="s">
        <v>30</v>
      </c>
      <c r="O20" s="99" t="s">
        <v>282</v>
      </c>
      <c r="P20" s="24" t="s">
        <v>301</v>
      </c>
      <c r="Q20" s="103">
        <v>87.333333333333329</v>
      </c>
      <c r="R20" s="18"/>
      <c r="S20" s="18"/>
      <c r="T20" s="18"/>
      <c r="U20" s="18"/>
      <c r="V20" s="18"/>
      <c r="W20" s="18"/>
      <c r="X20" s="18"/>
      <c r="Y20" s="18"/>
      <c r="Z20" s="18"/>
      <c r="AA20" s="18"/>
      <c r="AB20" s="18"/>
      <c r="AC20" s="65"/>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c r="BL20" s="12"/>
      <c r="BM20" s="12"/>
      <c r="BN20" s="12"/>
      <c r="BO20" s="12"/>
      <c r="BP20" s="12"/>
      <c r="BQ20" s="12"/>
      <c r="BR20" s="12"/>
      <c r="BS20" s="12"/>
      <c r="BT20" s="12"/>
      <c r="BU20" s="12"/>
      <c r="BV20" s="12"/>
      <c r="BW20" s="12"/>
      <c r="BX20" s="12"/>
      <c r="BY20" s="12"/>
      <c r="BZ20" s="12"/>
      <c r="CA20" s="12"/>
      <c r="CB20" s="12"/>
      <c r="CC20" s="12"/>
      <c r="CD20" s="12"/>
      <c r="CE20" s="12"/>
      <c r="CF20" s="12"/>
      <c r="CG20" s="12"/>
      <c r="CH20" s="12"/>
      <c r="CI20" s="12"/>
      <c r="CJ20" s="12"/>
      <c r="CK20" s="12"/>
      <c r="CL20" s="12"/>
      <c r="CM20" s="12"/>
      <c r="CN20" s="12"/>
      <c r="CO20" s="12"/>
      <c r="CP20" s="12"/>
      <c r="CQ20" s="12"/>
      <c r="CR20" s="12"/>
      <c r="CS20" s="12"/>
      <c r="CT20" s="12"/>
      <c r="CU20" s="12"/>
      <c r="CV20" s="12"/>
      <c r="CW20" s="12"/>
      <c r="CX20" s="12"/>
      <c r="CY20" s="12"/>
      <c r="CZ20" s="12"/>
      <c r="DA20" s="12"/>
      <c r="DB20" s="12"/>
      <c r="DC20" s="12"/>
      <c r="DD20" s="12"/>
      <c r="DE20" s="12"/>
      <c r="DF20" s="12"/>
      <c r="DG20" s="12"/>
      <c r="DH20" s="12"/>
      <c r="DI20" s="12"/>
      <c r="DJ20" s="12"/>
      <c r="DK20" s="12"/>
      <c r="DL20" s="12"/>
      <c r="DM20" s="12"/>
      <c r="DN20" s="12"/>
      <c r="DO20" s="12"/>
      <c r="DP20" s="12"/>
      <c r="DQ20" s="12"/>
      <c r="DR20" s="12"/>
      <c r="DS20" s="12"/>
      <c r="DT20" s="12"/>
      <c r="DU20" s="12"/>
      <c r="DV20" s="12"/>
    </row>
    <row r="21" spans="1:126" s="13" customFormat="1" ht="79.95" hidden="1" customHeight="1" x14ac:dyDescent="0.25">
      <c r="A21" s="108">
        <v>16</v>
      </c>
      <c r="B21" s="39" t="s">
        <v>364</v>
      </c>
      <c r="C21" s="39" t="s">
        <v>83</v>
      </c>
      <c r="D21" s="81" t="s">
        <v>365</v>
      </c>
      <c r="E21" s="82" t="s">
        <v>366</v>
      </c>
      <c r="F21" s="79" t="s">
        <v>367</v>
      </c>
      <c r="G21" s="79" t="s">
        <v>359</v>
      </c>
      <c r="H21" s="79">
        <v>0</v>
      </c>
      <c r="I21" s="79" t="s">
        <v>368</v>
      </c>
      <c r="J21" s="89" t="s">
        <v>369</v>
      </c>
      <c r="K21" s="89" t="s">
        <v>370</v>
      </c>
      <c r="L21" s="39" t="s">
        <v>92</v>
      </c>
      <c r="M21" s="39" t="s">
        <v>242</v>
      </c>
      <c r="N21" s="39" t="s">
        <v>371</v>
      </c>
      <c r="O21" s="99" t="s">
        <v>372</v>
      </c>
      <c r="P21" s="24" t="s">
        <v>373</v>
      </c>
      <c r="Q21" s="104">
        <v>87.333333333333329</v>
      </c>
      <c r="R21" s="18"/>
      <c r="S21" s="18"/>
      <c r="T21" s="18"/>
    </row>
    <row r="22" spans="1:126" s="19" customFormat="1" ht="79.95" hidden="1" customHeight="1" x14ac:dyDescent="0.25">
      <c r="A22" s="108">
        <v>17</v>
      </c>
      <c r="B22" s="39" t="s">
        <v>256</v>
      </c>
      <c r="C22" s="39" t="s">
        <v>83</v>
      </c>
      <c r="D22" s="80" t="s">
        <v>257</v>
      </c>
      <c r="E22" s="24" t="s">
        <v>258</v>
      </c>
      <c r="F22" s="83" t="s">
        <v>259</v>
      </c>
      <c r="G22" s="79" t="s">
        <v>83</v>
      </c>
      <c r="H22" s="24">
        <v>0</v>
      </c>
      <c r="I22" s="24" t="s">
        <v>260</v>
      </c>
      <c r="J22" s="24" t="s">
        <v>261</v>
      </c>
      <c r="K22" s="24" t="s">
        <v>262</v>
      </c>
      <c r="L22" s="93">
        <v>46296</v>
      </c>
      <c r="M22" s="39" t="s">
        <v>29</v>
      </c>
      <c r="N22" s="39" t="s">
        <v>30</v>
      </c>
      <c r="O22" s="99" t="s">
        <v>113</v>
      </c>
      <c r="P22" s="24" t="s">
        <v>263</v>
      </c>
      <c r="Q22" s="103">
        <v>87.111111111111114</v>
      </c>
    </row>
    <row r="23" spans="1:126" s="19" customFormat="1" ht="79.95" hidden="1" customHeight="1" x14ac:dyDescent="0.25">
      <c r="A23" s="108">
        <v>18</v>
      </c>
      <c r="B23" s="39" t="s">
        <v>323</v>
      </c>
      <c r="C23" s="39" t="s">
        <v>34</v>
      </c>
      <c r="D23" s="80" t="s">
        <v>324</v>
      </c>
      <c r="E23" s="24" t="s">
        <v>325</v>
      </c>
      <c r="F23" s="83" t="s">
        <v>326</v>
      </c>
      <c r="G23" s="33" t="s">
        <v>99</v>
      </c>
      <c r="H23" s="24">
        <v>0</v>
      </c>
      <c r="I23" s="24" t="s">
        <v>327</v>
      </c>
      <c r="J23" s="24" t="s">
        <v>328</v>
      </c>
      <c r="K23" s="24" t="s">
        <v>329</v>
      </c>
      <c r="L23" s="92">
        <v>46360</v>
      </c>
      <c r="M23" s="39" t="s">
        <v>29</v>
      </c>
      <c r="N23" s="39" t="s">
        <v>30</v>
      </c>
      <c r="O23" s="98" t="s">
        <v>63</v>
      </c>
      <c r="P23" s="24" t="s">
        <v>330</v>
      </c>
      <c r="Q23" s="105">
        <v>87.111111111111114</v>
      </c>
    </row>
    <row r="24" spans="1:126" s="19" customFormat="1" ht="79.95" hidden="1" customHeight="1" x14ac:dyDescent="0.25">
      <c r="A24" s="108">
        <v>19</v>
      </c>
      <c r="B24" s="39" t="s">
        <v>407</v>
      </c>
      <c r="C24" s="39" t="s">
        <v>83</v>
      </c>
      <c r="D24" s="80" t="s">
        <v>408</v>
      </c>
      <c r="E24" s="24" t="s">
        <v>409</v>
      </c>
      <c r="F24" s="24" t="s">
        <v>410</v>
      </c>
      <c r="G24" s="79" t="s">
        <v>359</v>
      </c>
      <c r="H24" s="24" t="s">
        <v>411</v>
      </c>
      <c r="I24" s="24" t="s">
        <v>412</v>
      </c>
      <c r="J24" s="24" t="s">
        <v>413</v>
      </c>
      <c r="K24" s="24" t="s">
        <v>397</v>
      </c>
      <c r="L24" s="92">
        <v>46082</v>
      </c>
      <c r="M24" s="39" t="s">
        <v>29</v>
      </c>
      <c r="N24" s="39" t="s">
        <v>30</v>
      </c>
      <c r="O24" s="99" t="s">
        <v>254</v>
      </c>
      <c r="P24" s="24" t="s">
        <v>414</v>
      </c>
      <c r="Q24" s="104">
        <v>87.111111111111114</v>
      </c>
    </row>
    <row r="25" spans="1:126" s="19" customFormat="1" ht="79.95" customHeight="1" x14ac:dyDescent="0.25">
      <c r="A25" s="108">
        <v>20</v>
      </c>
      <c r="B25" s="25" t="s">
        <v>75</v>
      </c>
      <c r="C25" s="25" t="s">
        <v>66</v>
      </c>
      <c r="D25" s="25" t="s">
        <v>76</v>
      </c>
      <c r="E25" s="29" t="s">
        <v>77</v>
      </c>
      <c r="F25" s="29" t="s">
        <v>78</v>
      </c>
      <c r="G25" s="27" t="s">
        <v>79</v>
      </c>
      <c r="H25" s="28">
        <v>0</v>
      </c>
      <c r="I25" s="27" t="s">
        <v>80</v>
      </c>
      <c r="J25" s="27" t="s">
        <v>81</v>
      </c>
      <c r="K25" s="35" t="s">
        <v>82</v>
      </c>
      <c r="L25" s="28" t="s">
        <v>83</v>
      </c>
      <c r="M25" s="27" t="s">
        <v>29</v>
      </c>
      <c r="N25" s="27" t="s">
        <v>30</v>
      </c>
      <c r="O25" s="41" t="s">
        <v>63</v>
      </c>
      <c r="P25" s="28" t="s">
        <v>84</v>
      </c>
      <c r="Q25" s="103">
        <v>86.888888888888886</v>
      </c>
    </row>
    <row r="26" spans="1:126" s="19" customFormat="1" ht="79.95" customHeight="1" x14ac:dyDescent="0.25">
      <c r="A26" s="108">
        <v>21</v>
      </c>
      <c r="B26" s="24" t="s">
        <v>150</v>
      </c>
      <c r="C26" s="31" t="s">
        <v>151</v>
      </c>
      <c r="D26" s="27" t="s">
        <v>152</v>
      </c>
      <c r="E26" s="27" t="s">
        <v>153</v>
      </c>
      <c r="F26" s="27" t="s">
        <v>154</v>
      </c>
      <c r="G26" s="27" t="s">
        <v>49</v>
      </c>
      <c r="H26" s="32">
        <v>0</v>
      </c>
      <c r="I26" s="27" t="s">
        <v>155</v>
      </c>
      <c r="J26" s="27" t="s">
        <v>156</v>
      </c>
      <c r="K26" s="27" t="s">
        <v>157</v>
      </c>
      <c r="L26" s="24" t="s">
        <v>92</v>
      </c>
      <c r="M26" s="24" t="s">
        <v>158</v>
      </c>
      <c r="N26" s="28" t="s">
        <v>30</v>
      </c>
      <c r="O26" s="41" t="s">
        <v>159</v>
      </c>
      <c r="P26" s="28" t="s">
        <v>160</v>
      </c>
      <c r="Q26" s="105">
        <v>86.666666666666671</v>
      </c>
    </row>
    <row r="27" spans="1:126" s="19" customFormat="1" ht="79.95" customHeight="1" x14ac:dyDescent="0.25">
      <c r="A27" s="108">
        <v>22</v>
      </c>
      <c r="B27" s="25" t="s">
        <v>196</v>
      </c>
      <c r="C27" s="25" t="s">
        <v>34</v>
      </c>
      <c r="D27" s="27" t="s">
        <v>197</v>
      </c>
      <c r="E27" s="27" t="s">
        <v>198</v>
      </c>
      <c r="F27" s="35" t="s">
        <v>199</v>
      </c>
      <c r="G27" s="33" t="s">
        <v>165</v>
      </c>
      <c r="H27" s="28">
        <v>740.1</v>
      </c>
      <c r="I27" s="35" t="s">
        <v>200</v>
      </c>
      <c r="J27" s="27" t="s">
        <v>201</v>
      </c>
      <c r="K27" s="35" t="s">
        <v>202</v>
      </c>
      <c r="L27" s="91">
        <v>46360</v>
      </c>
      <c r="M27" s="95" t="s">
        <v>203</v>
      </c>
      <c r="N27" s="95" t="s">
        <v>204</v>
      </c>
      <c r="O27" s="25" t="s">
        <v>42</v>
      </c>
      <c r="P27" s="24" t="s">
        <v>205</v>
      </c>
      <c r="Q27" s="103">
        <v>86.666666666666671</v>
      </c>
    </row>
    <row r="28" spans="1:126" s="19" customFormat="1" ht="79.95" hidden="1" customHeight="1" x14ac:dyDescent="0.25">
      <c r="A28" s="108">
        <v>23</v>
      </c>
      <c r="B28" s="24" t="s">
        <v>399</v>
      </c>
      <c r="C28" s="24" t="s">
        <v>83</v>
      </c>
      <c r="D28" s="24" t="s">
        <v>400</v>
      </c>
      <c r="E28" s="24" t="s">
        <v>401</v>
      </c>
      <c r="F28" s="24" t="s">
        <v>402</v>
      </c>
      <c r="G28" s="24" t="s">
        <v>359</v>
      </c>
      <c r="H28" s="24">
        <v>0</v>
      </c>
      <c r="I28" s="24" t="s">
        <v>403</v>
      </c>
      <c r="J28" s="24" t="s">
        <v>404</v>
      </c>
      <c r="K28" s="24" t="s">
        <v>405</v>
      </c>
      <c r="L28" s="24" t="s">
        <v>92</v>
      </c>
      <c r="M28" s="24" t="s">
        <v>29</v>
      </c>
      <c r="N28" s="24" t="s">
        <v>30</v>
      </c>
      <c r="O28" s="24" t="s">
        <v>63</v>
      </c>
      <c r="P28" s="24" t="s">
        <v>406</v>
      </c>
      <c r="Q28" s="104">
        <v>86.666666666666671</v>
      </c>
    </row>
    <row r="29" spans="1:126" s="19" customFormat="1" ht="79.95" hidden="1" customHeight="1" x14ac:dyDescent="0.25">
      <c r="A29" s="108">
        <v>24</v>
      </c>
      <c r="B29" s="24" t="s">
        <v>424</v>
      </c>
      <c r="C29" s="24" t="s">
        <v>425</v>
      </c>
      <c r="D29" s="24" t="s">
        <v>426</v>
      </c>
      <c r="E29" s="24" t="s">
        <v>427</v>
      </c>
      <c r="F29" s="24" t="s">
        <v>428</v>
      </c>
      <c r="G29" s="24" t="s">
        <v>83</v>
      </c>
      <c r="H29" s="24">
        <v>0</v>
      </c>
      <c r="I29" s="24" t="s">
        <v>429</v>
      </c>
      <c r="J29" s="24" t="s">
        <v>430</v>
      </c>
      <c r="K29" s="24" t="s">
        <v>431</v>
      </c>
      <c r="L29" s="44">
        <v>46029</v>
      </c>
      <c r="M29" s="24" t="s">
        <v>29</v>
      </c>
      <c r="N29" s="24" t="s">
        <v>30</v>
      </c>
      <c r="O29" s="24" t="s">
        <v>432</v>
      </c>
      <c r="P29" s="24" t="s">
        <v>433</v>
      </c>
      <c r="Q29" s="104">
        <v>86.555555555555557</v>
      </c>
    </row>
    <row r="30" spans="1:126" s="19" customFormat="1" ht="79.95" customHeight="1" x14ac:dyDescent="0.25">
      <c r="A30" s="108">
        <v>25</v>
      </c>
      <c r="B30" s="24" t="s">
        <v>20</v>
      </c>
      <c r="C30" s="24" t="s">
        <v>21</v>
      </c>
      <c r="D30" s="24" t="s">
        <v>22</v>
      </c>
      <c r="E30" s="24" t="s">
        <v>23</v>
      </c>
      <c r="F30" s="24" t="s">
        <v>24</v>
      </c>
      <c r="G30" s="24" t="s">
        <v>25</v>
      </c>
      <c r="H30" s="24">
        <v>0</v>
      </c>
      <c r="I30" s="24" t="s">
        <v>26</v>
      </c>
      <c r="J30" s="24" t="s">
        <v>27</v>
      </c>
      <c r="K30" s="24" t="s">
        <v>28</v>
      </c>
      <c r="L30" s="44">
        <v>46356</v>
      </c>
      <c r="M30" s="24" t="s">
        <v>29</v>
      </c>
      <c r="N30" s="24" t="s">
        <v>30</v>
      </c>
      <c r="O30" s="24" t="s">
        <v>31</v>
      </c>
      <c r="P30" s="24" t="s">
        <v>32</v>
      </c>
      <c r="Q30" s="103">
        <v>86.333333333333329</v>
      </c>
    </row>
    <row r="31" spans="1:126" s="19" customFormat="1" ht="79.95" hidden="1" customHeight="1" x14ac:dyDescent="0.25">
      <c r="A31" s="108">
        <v>26</v>
      </c>
      <c r="B31" s="39" t="s">
        <v>473</v>
      </c>
      <c r="C31" s="39" t="s">
        <v>66</v>
      </c>
      <c r="D31" s="39" t="s">
        <v>474</v>
      </c>
      <c r="E31" s="39" t="s">
        <v>475</v>
      </c>
      <c r="F31" s="39" t="s">
        <v>476</v>
      </c>
      <c r="G31" s="39" t="s">
        <v>477</v>
      </c>
      <c r="H31" s="39">
        <v>0</v>
      </c>
      <c r="I31" s="39" t="s">
        <v>477</v>
      </c>
      <c r="J31" s="90" t="s">
        <v>478</v>
      </c>
      <c r="K31" s="90" t="s">
        <v>479</v>
      </c>
      <c r="L31" s="44">
        <v>46234</v>
      </c>
      <c r="M31" s="40" t="s">
        <v>29</v>
      </c>
      <c r="N31" s="24" t="s">
        <v>30</v>
      </c>
      <c r="O31" s="54" t="s">
        <v>31</v>
      </c>
      <c r="P31" s="24" t="s">
        <v>480</v>
      </c>
      <c r="Q31" s="104">
        <v>86.333333333333329</v>
      </c>
    </row>
    <row r="32" spans="1:126" s="11" customFormat="1" ht="79.95" hidden="1" customHeight="1" x14ac:dyDescent="0.25">
      <c r="A32" s="108">
        <v>27</v>
      </c>
      <c r="B32" s="24" t="s">
        <v>509</v>
      </c>
      <c r="C32" s="24" t="s">
        <v>510</v>
      </c>
      <c r="D32" s="24" t="s">
        <v>511</v>
      </c>
      <c r="E32" s="24" t="s">
        <v>512</v>
      </c>
      <c r="F32" s="24" t="s">
        <v>513</v>
      </c>
      <c r="G32" s="40" t="s">
        <v>514</v>
      </c>
      <c r="H32" s="24">
        <v>0</v>
      </c>
      <c r="I32" s="24" t="s">
        <v>515</v>
      </c>
      <c r="J32" s="24" t="s">
        <v>516</v>
      </c>
      <c r="K32" s="24" t="s">
        <v>517</v>
      </c>
      <c r="L32" s="24" t="s">
        <v>83</v>
      </c>
      <c r="M32" s="40" t="s">
        <v>29</v>
      </c>
      <c r="N32" s="24" t="s">
        <v>30</v>
      </c>
      <c r="O32" s="24" t="s">
        <v>31</v>
      </c>
      <c r="P32" s="24" t="s">
        <v>518</v>
      </c>
      <c r="Q32" s="104">
        <v>86.333333333333329</v>
      </c>
    </row>
    <row r="33" spans="1:17" s="11" customFormat="1" ht="79.95" hidden="1" customHeight="1" x14ac:dyDescent="0.25">
      <c r="A33" s="108">
        <v>28</v>
      </c>
      <c r="B33" s="40" t="s">
        <v>564</v>
      </c>
      <c r="C33" s="40" t="s">
        <v>565</v>
      </c>
      <c r="D33" s="41" t="s">
        <v>566</v>
      </c>
      <c r="E33" s="40" t="s">
        <v>567</v>
      </c>
      <c r="F33" s="24" t="s">
        <v>568</v>
      </c>
      <c r="G33" s="24" t="s">
        <v>569</v>
      </c>
      <c r="H33" s="24">
        <v>1</v>
      </c>
      <c r="I33" s="24" t="s">
        <v>570</v>
      </c>
      <c r="J33" s="24" t="s">
        <v>571</v>
      </c>
      <c r="K33" s="24" t="s">
        <v>572</v>
      </c>
      <c r="L33" s="55">
        <v>46198</v>
      </c>
      <c r="M33" s="24" t="s">
        <v>29</v>
      </c>
      <c r="N33" s="24" t="s">
        <v>30</v>
      </c>
      <c r="O33" s="24" t="s">
        <v>159</v>
      </c>
      <c r="P33" s="24" t="s">
        <v>573</v>
      </c>
      <c r="Q33" s="104">
        <v>86.222222222222229</v>
      </c>
    </row>
    <row r="34" spans="1:17" s="11" customFormat="1" ht="79.95" hidden="1" customHeight="1" x14ac:dyDescent="0.25">
      <c r="A34" s="108">
        <v>29</v>
      </c>
      <c r="B34" s="40" t="s">
        <v>273</v>
      </c>
      <c r="C34" s="40" t="s">
        <v>274</v>
      </c>
      <c r="D34" s="41" t="s">
        <v>275</v>
      </c>
      <c r="E34" s="41" t="s">
        <v>276</v>
      </c>
      <c r="F34" s="24" t="s">
        <v>277</v>
      </c>
      <c r="G34" s="24" t="s">
        <v>278</v>
      </c>
      <c r="H34" s="24">
        <v>1</v>
      </c>
      <c r="I34" s="24" t="s">
        <v>279</v>
      </c>
      <c r="J34" s="24" t="s">
        <v>280</v>
      </c>
      <c r="K34" s="24" t="s">
        <v>281</v>
      </c>
      <c r="L34" s="52">
        <v>46295</v>
      </c>
      <c r="M34" s="24" t="s">
        <v>93</v>
      </c>
      <c r="N34" s="24" t="s">
        <v>30</v>
      </c>
      <c r="O34" s="24" t="s">
        <v>282</v>
      </c>
      <c r="P34" s="24" t="s">
        <v>283</v>
      </c>
      <c r="Q34" s="103">
        <v>86.111111111111114</v>
      </c>
    </row>
    <row r="35" spans="1:17" s="11" customFormat="1" ht="79.95" hidden="1" customHeight="1" x14ac:dyDescent="0.25">
      <c r="A35" s="108">
        <v>30</v>
      </c>
      <c r="B35" s="24" t="s">
        <v>309</v>
      </c>
      <c r="C35" s="24" t="s">
        <v>34</v>
      </c>
      <c r="D35" s="24" t="s">
        <v>310</v>
      </c>
      <c r="E35" s="24" t="s">
        <v>311</v>
      </c>
      <c r="F35" s="24" t="s">
        <v>312</v>
      </c>
      <c r="G35" s="86">
        <v>46357</v>
      </c>
      <c r="H35" s="24">
        <v>0</v>
      </c>
      <c r="I35" s="24" t="s">
        <v>313</v>
      </c>
      <c r="J35" s="24" t="s">
        <v>61</v>
      </c>
      <c r="K35" s="24" t="s">
        <v>314</v>
      </c>
      <c r="L35" s="55">
        <v>46358</v>
      </c>
      <c r="M35" s="24" t="s">
        <v>29</v>
      </c>
      <c r="N35" s="24" t="s">
        <v>30</v>
      </c>
      <c r="O35" s="56" t="s">
        <v>63</v>
      </c>
      <c r="P35" s="24" t="s">
        <v>315</v>
      </c>
      <c r="Q35" s="103">
        <v>86.111111111111114</v>
      </c>
    </row>
    <row r="36" spans="1:17" s="11" customFormat="1" ht="79.95" hidden="1" customHeight="1" x14ac:dyDescent="0.25">
      <c r="A36" s="108">
        <v>31</v>
      </c>
      <c r="B36" s="40" t="s">
        <v>500</v>
      </c>
      <c r="C36" s="40" t="s">
        <v>66</v>
      </c>
      <c r="D36" s="40" t="s">
        <v>501</v>
      </c>
      <c r="E36" s="40" t="s">
        <v>502</v>
      </c>
      <c r="F36" s="40" t="s">
        <v>503</v>
      </c>
      <c r="G36" s="85" t="s">
        <v>504</v>
      </c>
      <c r="H36" s="40">
        <v>0</v>
      </c>
      <c r="I36" s="88" t="s">
        <v>504</v>
      </c>
      <c r="J36" s="40" t="s">
        <v>505</v>
      </c>
      <c r="K36" s="40" t="s">
        <v>506</v>
      </c>
      <c r="L36" s="24" t="s">
        <v>507</v>
      </c>
      <c r="M36" s="24" t="s">
        <v>29</v>
      </c>
      <c r="N36" s="24" t="s">
        <v>30</v>
      </c>
      <c r="O36" s="24" t="s">
        <v>498</v>
      </c>
      <c r="P36" s="24" t="s">
        <v>508</v>
      </c>
      <c r="Q36" s="104">
        <v>86.111111111111114</v>
      </c>
    </row>
    <row r="37" spans="1:17" s="9" customFormat="1" ht="79.95" hidden="1" customHeight="1" x14ac:dyDescent="0.25">
      <c r="A37" s="108">
        <v>32</v>
      </c>
      <c r="B37" s="78" t="s">
        <v>529</v>
      </c>
      <c r="C37" s="78" t="s">
        <v>66</v>
      </c>
      <c r="D37" s="40" t="s">
        <v>530</v>
      </c>
      <c r="E37" s="40" t="s">
        <v>531</v>
      </c>
      <c r="F37" s="40" t="s">
        <v>532</v>
      </c>
      <c r="G37" s="40" t="s">
        <v>533</v>
      </c>
      <c r="H37" s="40">
        <v>0</v>
      </c>
      <c r="I37" s="40" t="s">
        <v>534</v>
      </c>
      <c r="J37" s="40" t="s">
        <v>535</v>
      </c>
      <c r="K37" s="40" t="s">
        <v>536</v>
      </c>
      <c r="L37" s="48" t="s">
        <v>112</v>
      </c>
      <c r="M37" s="24" t="s">
        <v>29</v>
      </c>
      <c r="N37" s="24" t="s">
        <v>30</v>
      </c>
      <c r="O37" s="57" t="s">
        <v>537</v>
      </c>
      <c r="P37" s="28" t="s">
        <v>538</v>
      </c>
      <c r="Q37" s="104">
        <v>86</v>
      </c>
    </row>
    <row r="38" spans="1:17" s="9" customFormat="1" ht="79.95" hidden="1" customHeight="1" x14ac:dyDescent="0.25">
      <c r="A38" s="108">
        <v>33</v>
      </c>
      <c r="B38" s="24" t="s">
        <v>316</v>
      </c>
      <c r="C38" s="24" t="s">
        <v>34</v>
      </c>
      <c r="D38" s="24" t="s">
        <v>317</v>
      </c>
      <c r="E38" s="24" t="s">
        <v>318</v>
      </c>
      <c r="F38" s="24" t="s">
        <v>319</v>
      </c>
      <c r="G38" s="25" t="s">
        <v>99</v>
      </c>
      <c r="H38" s="24">
        <v>0</v>
      </c>
      <c r="I38" s="24" t="s">
        <v>320</v>
      </c>
      <c r="J38" s="24" t="s">
        <v>61</v>
      </c>
      <c r="K38" s="24" t="s">
        <v>321</v>
      </c>
      <c r="L38" s="55">
        <v>46359</v>
      </c>
      <c r="M38" s="24" t="s">
        <v>29</v>
      </c>
      <c r="N38" s="24" t="s">
        <v>30</v>
      </c>
      <c r="O38" s="24" t="s">
        <v>31</v>
      </c>
      <c r="P38" s="24" t="s">
        <v>322</v>
      </c>
      <c r="Q38" s="105">
        <v>85.777777777777771</v>
      </c>
    </row>
    <row r="39" spans="1:17" s="16" customFormat="1" ht="79.95" hidden="1" customHeight="1" x14ac:dyDescent="0.25">
      <c r="A39" s="108">
        <v>34</v>
      </c>
      <c r="B39" s="39" t="s">
        <v>346</v>
      </c>
      <c r="C39" s="40" t="s">
        <v>34</v>
      </c>
      <c r="D39" s="40" t="s">
        <v>347</v>
      </c>
      <c r="E39" s="40" t="s">
        <v>348</v>
      </c>
      <c r="F39" s="40" t="s">
        <v>349</v>
      </c>
      <c r="G39" s="85" t="s">
        <v>350</v>
      </c>
      <c r="H39" s="40">
        <v>0</v>
      </c>
      <c r="I39" s="40" t="s">
        <v>351</v>
      </c>
      <c r="J39" s="40" t="s">
        <v>352</v>
      </c>
      <c r="K39" s="40" t="s">
        <v>353</v>
      </c>
      <c r="L39" s="55">
        <v>46174</v>
      </c>
      <c r="M39" s="96" t="s">
        <v>29</v>
      </c>
      <c r="N39" s="24" t="s">
        <v>30</v>
      </c>
      <c r="O39" s="56" t="s">
        <v>233</v>
      </c>
      <c r="P39" s="24" t="s">
        <v>354</v>
      </c>
      <c r="Q39" s="104">
        <v>85.777777777777771</v>
      </c>
    </row>
    <row r="40" spans="1:17" s="16" customFormat="1" ht="79.95" hidden="1" customHeight="1" x14ac:dyDescent="0.25">
      <c r="A40" s="108">
        <v>35</v>
      </c>
      <c r="B40" s="24" t="s">
        <v>481</v>
      </c>
      <c r="C40" s="24" t="s">
        <v>66</v>
      </c>
      <c r="D40" s="24" t="s">
        <v>482</v>
      </c>
      <c r="E40" s="24" t="s">
        <v>483</v>
      </c>
      <c r="F40" s="24" t="s">
        <v>484</v>
      </c>
      <c r="G40" s="24" t="s">
        <v>485</v>
      </c>
      <c r="H40" s="24">
        <v>0</v>
      </c>
      <c r="I40" s="24" t="s">
        <v>486</v>
      </c>
      <c r="J40" s="43" t="s">
        <v>487</v>
      </c>
      <c r="K40" s="43" t="s">
        <v>488</v>
      </c>
      <c r="L40" s="44">
        <v>46265</v>
      </c>
      <c r="M40" s="24" t="s">
        <v>29</v>
      </c>
      <c r="N40" s="24" t="s">
        <v>30</v>
      </c>
      <c r="O40" s="24" t="s">
        <v>489</v>
      </c>
      <c r="P40" s="24" t="s">
        <v>490</v>
      </c>
      <c r="Q40" s="104">
        <v>85.777777777777771</v>
      </c>
    </row>
    <row r="41" spans="1:17" ht="79.95" hidden="1" customHeight="1" x14ac:dyDescent="0.25">
      <c r="A41" s="108">
        <v>36</v>
      </c>
      <c r="B41" s="43" t="s">
        <v>539</v>
      </c>
      <c r="C41" s="43" t="s">
        <v>540</v>
      </c>
      <c r="D41" s="43" t="s">
        <v>541</v>
      </c>
      <c r="E41" s="43" t="s">
        <v>542</v>
      </c>
      <c r="F41" s="43" t="s">
        <v>543</v>
      </c>
      <c r="G41" s="43" t="s">
        <v>514</v>
      </c>
      <c r="H41" s="43">
        <v>0</v>
      </c>
      <c r="I41" s="43" t="s">
        <v>544</v>
      </c>
      <c r="J41" s="43" t="s">
        <v>61</v>
      </c>
      <c r="K41" s="43" t="s">
        <v>545</v>
      </c>
      <c r="L41" s="58">
        <v>46387</v>
      </c>
      <c r="M41" s="43" t="s">
        <v>29</v>
      </c>
      <c r="N41" s="43" t="s">
        <v>30</v>
      </c>
      <c r="O41" s="43" t="s">
        <v>546</v>
      </c>
      <c r="P41" s="28" t="s">
        <v>547</v>
      </c>
      <c r="Q41" s="104">
        <v>85.777777777777771</v>
      </c>
    </row>
    <row r="42" spans="1:17" ht="79.95" hidden="1" customHeight="1" x14ac:dyDescent="0.25">
      <c r="A42" s="108">
        <v>37</v>
      </c>
      <c r="B42" s="24" t="s">
        <v>284</v>
      </c>
      <c r="C42" s="24" t="s">
        <v>285</v>
      </c>
      <c r="D42" s="24" t="s">
        <v>286</v>
      </c>
      <c r="E42" s="24" t="s">
        <v>287</v>
      </c>
      <c r="F42" s="24" t="s">
        <v>288</v>
      </c>
      <c r="G42" s="24" t="s">
        <v>289</v>
      </c>
      <c r="H42" s="24">
        <v>3.6850000000000001</v>
      </c>
      <c r="I42" s="24" t="s">
        <v>290</v>
      </c>
      <c r="J42" s="24" t="s">
        <v>291</v>
      </c>
      <c r="K42" s="24" t="s">
        <v>292</v>
      </c>
      <c r="L42" s="52">
        <v>46203</v>
      </c>
      <c r="M42" s="24" t="s">
        <v>29</v>
      </c>
      <c r="N42" s="24" t="s">
        <v>30</v>
      </c>
      <c r="O42" s="24" t="s">
        <v>63</v>
      </c>
      <c r="P42" s="24" t="s">
        <v>293</v>
      </c>
      <c r="Q42" s="103">
        <v>85.666666666666671</v>
      </c>
    </row>
    <row r="43" spans="1:17" ht="79.95" hidden="1" customHeight="1" x14ac:dyDescent="0.25">
      <c r="A43" s="108">
        <v>38</v>
      </c>
      <c r="B43" s="24" t="s">
        <v>331</v>
      </c>
      <c r="C43" s="24" t="s">
        <v>34</v>
      </c>
      <c r="D43" s="24" t="s">
        <v>332</v>
      </c>
      <c r="E43" s="24" t="s">
        <v>333</v>
      </c>
      <c r="F43" s="24" t="s">
        <v>334</v>
      </c>
      <c r="G43" s="30" t="s">
        <v>99</v>
      </c>
      <c r="H43" s="24">
        <v>0</v>
      </c>
      <c r="I43" s="24" t="s">
        <v>335</v>
      </c>
      <c r="J43" s="24" t="s">
        <v>61</v>
      </c>
      <c r="K43" s="24" t="s">
        <v>336</v>
      </c>
      <c r="L43" s="55">
        <v>46361</v>
      </c>
      <c r="M43" s="40" t="s">
        <v>29</v>
      </c>
      <c r="N43" s="24" t="s">
        <v>30</v>
      </c>
      <c r="O43" s="100" t="s">
        <v>63</v>
      </c>
      <c r="P43" s="24" t="s">
        <v>337</v>
      </c>
      <c r="Q43" s="105">
        <v>85.333333333333329</v>
      </c>
    </row>
    <row r="44" spans="1:17" ht="79.95" hidden="1" customHeight="1" x14ac:dyDescent="0.25">
      <c r="A44" s="23">
        <v>39</v>
      </c>
      <c r="B44" s="24" t="s">
        <v>594</v>
      </c>
      <c r="C44" s="24" t="s">
        <v>595</v>
      </c>
      <c r="D44" s="24" t="s">
        <v>596</v>
      </c>
      <c r="E44" s="24" t="s">
        <v>597</v>
      </c>
      <c r="F44" s="24" t="s">
        <v>598</v>
      </c>
      <c r="G44" s="40" t="s">
        <v>599</v>
      </c>
      <c r="H44" s="24">
        <v>0</v>
      </c>
      <c r="I44" s="24">
        <v>0</v>
      </c>
      <c r="J44" s="24">
        <v>0</v>
      </c>
      <c r="K44" s="24">
        <v>0</v>
      </c>
      <c r="L44" s="44">
        <v>46356</v>
      </c>
      <c r="M44" s="40" t="s">
        <v>29</v>
      </c>
      <c r="N44" s="24" t="s">
        <v>30</v>
      </c>
      <c r="O44" s="24" t="s">
        <v>381</v>
      </c>
      <c r="P44" s="24" t="s">
        <v>600</v>
      </c>
      <c r="Q44" s="104">
        <v>85.333333333333329</v>
      </c>
    </row>
    <row r="45" spans="1:17" ht="79.95" customHeight="1" x14ac:dyDescent="0.25">
      <c r="A45" s="23">
        <v>40</v>
      </c>
      <c r="B45" s="25" t="s">
        <v>188</v>
      </c>
      <c r="C45" s="25" t="s">
        <v>34</v>
      </c>
      <c r="D45" s="27" t="s">
        <v>189</v>
      </c>
      <c r="E45" s="35" t="s">
        <v>190</v>
      </c>
      <c r="F45" s="35" t="s">
        <v>191</v>
      </c>
      <c r="G45" s="30" t="s">
        <v>165</v>
      </c>
      <c r="H45" s="28">
        <v>15.734400000000001</v>
      </c>
      <c r="I45" s="27" t="s">
        <v>192</v>
      </c>
      <c r="J45" s="27" t="s">
        <v>193</v>
      </c>
      <c r="K45" s="35" t="s">
        <v>194</v>
      </c>
      <c r="L45" s="91">
        <v>46360</v>
      </c>
      <c r="M45" s="94" t="s">
        <v>169</v>
      </c>
      <c r="N45" s="95" t="s">
        <v>170</v>
      </c>
      <c r="O45" s="97" t="s">
        <v>42</v>
      </c>
      <c r="P45" s="28" t="s">
        <v>195</v>
      </c>
      <c r="Q45" s="103">
        <v>85.222222222222229</v>
      </c>
    </row>
    <row r="46" spans="1:17" ht="79.95" hidden="1" customHeight="1" x14ac:dyDescent="0.25">
      <c r="A46" s="23">
        <v>41</v>
      </c>
      <c r="B46" s="24" t="s">
        <v>464</v>
      </c>
      <c r="C46" s="24" t="s">
        <v>66</v>
      </c>
      <c r="D46" s="24" t="s">
        <v>465</v>
      </c>
      <c r="E46" s="24" t="s">
        <v>466</v>
      </c>
      <c r="F46" s="24" t="s">
        <v>467</v>
      </c>
      <c r="G46" s="40" t="s">
        <v>468</v>
      </c>
      <c r="H46" s="24">
        <v>0</v>
      </c>
      <c r="I46" s="24" t="s">
        <v>469</v>
      </c>
      <c r="J46" s="43" t="s">
        <v>470</v>
      </c>
      <c r="K46" s="43" t="s">
        <v>471</v>
      </c>
      <c r="L46" s="44">
        <v>46295</v>
      </c>
      <c r="M46" s="40" t="s">
        <v>29</v>
      </c>
      <c r="N46" s="24" t="s">
        <v>30</v>
      </c>
      <c r="O46" s="24" t="s">
        <v>31</v>
      </c>
      <c r="P46" s="24" t="s">
        <v>472</v>
      </c>
      <c r="Q46" s="104">
        <v>85.222222222222229</v>
      </c>
    </row>
    <row r="47" spans="1:17" ht="79.95" customHeight="1" x14ac:dyDescent="0.25">
      <c r="A47" s="23">
        <v>42</v>
      </c>
      <c r="B47" s="25" t="s">
        <v>180</v>
      </c>
      <c r="C47" s="25" t="s">
        <v>34</v>
      </c>
      <c r="D47" s="57" t="s">
        <v>181</v>
      </c>
      <c r="E47" s="34" t="s">
        <v>182</v>
      </c>
      <c r="F47" s="35" t="s">
        <v>183</v>
      </c>
      <c r="G47" s="30" t="s">
        <v>165</v>
      </c>
      <c r="H47" s="28">
        <v>2000</v>
      </c>
      <c r="I47" s="27" t="s">
        <v>184</v>
      </c>
      <c r="J47" s="27" t="s">
        <v>185</v>
      </c>
      <c r="K47" s="35" t="s">
        <v>186</v>
      </c>
      <c r="L47" s="91">
        <v>46359</v>
      </c>
      <c r="M47" s="94" t="s">
        <v>169</v>
      </c>
      <c r="N47" s="95" t="s">
        <v>170</v>
      </c>
      <c r="O47" s="25" t="s">
        <v>42</v>
      </c>
      <c r="P47" s="24" t="s">
        <v>187</v>
      </c>
      <c r="Q47" s="103">
        <v>85.111111111111114</v>
      </c>
    </row>
    <row r="48" spans="1:17" ht="79.95" customHeight="1" x14ac:dyDescent="0.25">
      <c r="A48" s="23">
        <v>43</v>
      </c>
      <c r="B48" s="24" t="s">
        <v>44</v>
      </c>
      <c r="C48" s="24" t="s">
        <v>45</v>
      </c>
      <c r="D48" s="24" t="s">
        <v>46</v>
      </c>
      <c r="E48" s="24" t="s">
        <v>47</v>
      </c>
      <c r="F48" s="24" t="s">
        <v>48</v>
      </c>
      <c r="G48" s="42" t="s">
        <v>49</v>
      </c>
      <c r="H48" s="24">
        <v>0</v>
      </c>
      <c r="I48" s="24" t="s">
        <v>50</v>
      </c>
      <c r="J48" s="24" t="s">
        <v>51</v>
      </c>
      <c r="K48" s="24" t="s">
        <v>52</v>
      </c>
      <c r="L48" s="44">
        <v>46356</v>
      </c>
      <c r="M48" s="40" t="s">
        <v>29</v>
      </c>
      <c r="N48" s="24" t="s">
        <v>30</v>
      </c>
      <c r="O48" s="42" t="s">
        <v>31</v>
      </c>
      <c r="P48" s="24" t="s">
        <v>53</v>
      </c>
      <c r="Q48" s="103">
        <v>85</v>
      </c>
    </row>
    <row r="49" spans="1:17" ht="79.95" customHeight="1" x14ac:dyDescent="0.25">
      <c r="A49" s="23">
        <v>44</v>
      </c>
      <c r="B49" s="25" t="s">
        <v>161</v>
      </c>
      <c r="C49" s="25" t="s">
        <v>34</v>
      </c>
      <c r="D49" s="25" t="s">
        <v>162</v>
      </c>
      <c r="E49" s="25" t="s">
        <v>163</v>
      </c>
      <c r="F49" s="26" t="s">
        <v>164</v>
      </c>
      <c r="G49" s="25" t="s">
        <v>165</v>
      </c>
      <c r="H49" s="87">
        <v>76.849999999999994</v>
      </c>
      <c r="I49" s="25" t="s">
        <v>166</v>
      </c>
      <c r="J49" s="25" t="s">
        <v>167</v>
      </c>
      <c r="K49" s="26" t="s">
        <v>168</v>
      </c>
      <c r="L49" s="91">
        <v>46357</v>
      </c>
      <c r="M49" s="95" t="s">
        <v>169</v>
      </c>
      <c r="N49" s="95" t="s">
        <v>170</v>
      </c>
      <c r="O49" s="25" t="s">
        <v>42</v>
      </c>
      <c r="P49" s="24" t="s">
        <v>171</v>
      </c>
      <c r="Q49" s="103">
        <v>84.777777777777771</v>
      </c>
    </row>
    <row r="50" spans="1:17" ht="79.95" customHeight="1" x14ac:dyDescent="0.25">
      <c r="A50" s="23">
        <v>45</v>
      </c>
      <c r="B50" s="36" t="s">
        <v>225</v>
      </c>
      <c r="C50" s="37" t="s">
        <v>226</v>
      </c>
      <c r="D50" s="37" t="s">
        <v>227</v>
      </c>
      <c r="E50" s="37" t="s">
        <v>228</v>
      </c>
      <c r="F50" s="37" t="s">
        <v>229</v>
      </c>
      <c r="G50" s="25" t="s">
        <v>165</v>
      </c>
      <c r="H50" s="24">
        <v>0</v>
      </c>
      <c r="I50" s="24" t="s">
        <v>230</v>
      </c>
      <c r="J50" s="24" t="s">
        <v>231</v>
      </c>
      <c r="K50" s="24" t="s">
        <v>232</v>
      </c>
      <c r="L50" s="52">
        <v>46387</v>
      </c>
      <c r="M50" s="27" t="s">
        <v>214</v>
      </c>
      <c r="N50" s="28" t="s">
        <v>30</v>
      </c>
      <c r="O50" s="24" t="s">
        <v>233</v>
      </c>
      <c r="P50" s="28" t="s">
        <v>234</v>
      </c>
      <c r="Q50" s="103">
        <v>84.777777777777771</v>
      </c>
    </row>
    <row r="51" spans="1:17" ht="79.95" hidden="1" customHeight="1" x14ac:dyDescent="0.25">
      <c r="A51" s="23">
        <v>46</v>
      </c>
      <c r="B51" s="24" t="s">
        <v>302</v>
      </c>
      <c r="C51" s="24" t="s">
        <v>34</v>
      </c>
      <c r="D51" s="24" t="s">
        <v>303</v>
      </c>
      <c r="E51" s="24" t="s">
        <v>304</v>
      </c>
      <c r="F51" s="24" t="s">
        <v>305</v>
      </c>
      <c r="G51" s="25" t="s">
        <v>99</v>
      </c>
      <c r="H51" s="24">
        <v>0</v>
      </c>
      <c r="I51" s="24" t="s">
        <v>306</v>
      </c>
      <c r="J51" s="24" t="s">
        <v>61</v>
      </c>
      <c r="K51" s="24" t="s">
        <v>307</v>
      </c>
      <c r="L51" s="55">
        <v>46357</v>
      </c>
      <c r="M51" s="24" t="s">
        <v>29</v>
      </c>
      <c r="N51" s="24" t="s">
        <v>30</v>
      </c>
      <c r="O51" s="24" t="s">
        <v>31</v>
      </c>
      <c r="P51" s="24" t="s">
        <v>308</v>
      </c>
      <c r="Q51" s="103">
        <v>84.666666666666671</v>
      </c>
    </row>
    <row r="52" spans="1:17" ht="79.95" customHeight="1" x14ac:dyDescent="0.25">
      <c r="A52" s="23">
        <v>47</v>
      </c>
      <c r="B52" s="25" t="s">
        <v>33</v>
      </c>
      <c r="C52" s="25" t="s">
        <v>34</v>
      </c>
      <c r="D52" s="25" t="s">
        <v>35</v>
      </c>
      <c r="E52" s="25" t="s">
        <v>36</v>
      </c>
      <c r="F52" s="26" t="s">
        <v>37</v>
      </c>
      <c r="G52" s="25" t="s">
        <v>38</v>
      </c>
      <c r="H52" s="25">
        <v>12.2</v>
      </c>
      <c r="I52" s="25" t="s">
        <v>39</v>
      </c>
      <c r="J52" s="26" t="s">
        <v>40</v>
      </c>
      <c r="K52" s="26" t="s">
        <v>41</v>
      </c>
      <c r="L52" s="45">
        <v>46387</v>
      </c>
      <c r="M52" s="24" t="s">
        <v>29</v>
      </c>
      <c r="N52" s="24" t="s">
        <v>30</v>
      </c>
      <c r="O52" s="25" t="s">
        <v>42</v>
      </c>
      <c r="P52" s="28" t="s">
        <v>43</v>
      </c>
      <c r="Q52" s="103">
        <v>84.555555555555557</v>
      </c>
    </row>
    <row r="53" spans="1:17" ht="79.95" customHeight="1" x14ac:dyDescent="0.25">
      <c r="A53" s="23">
        <v>48</v>
      </c>
      <c r="B53" s="24" t="s">
        <v>104</v>
      </c>
      <c r="C53" s="24" t="s">
        <v>105</v>
      </c>
      <c r="D53" s="24" t="s">
        <v>106</v>
      </c>
      <c r="E53" s="24" t="s">
        <v>107</v>
      </c>
      <c r="F53" s="24" t="s">
        <v>108</v>
      </c>
      <c r="G53" s="41" t="s">
        <v>49</v>
      </c>
      <c r="H53" s="24">
        <v>0</v>
      </c>
      <c r="I53" s="24" t="s">
        <v>109</v>
      </c>
      <c r="J53" s="24" t="s">
        <v>110</v>
      </c>
      <c r="K53" s="24" t="s">
        <v>111</v>
      </c>
      <c r="L53" s="48" t="s">
        <v>112</v>
      </c>
      <c r="M53" s="41" t="s">
        <v>29</v>
      </c>
      <c r="N53" s="41" t="s">
        <v>30</v>
      </c>
      <c r="O53" s="43" t="s">
        <v>113</v>
      </c>
      <c r="P53" s="24" t="s">
        <v>114</v>
      </c>
      <c r="Q53" s="103">
        <v>84.555555555555557</v>
      </c>
    </row>
    <row r="54" spans="1:17" ht="79.95" hidden="1" customHeight="1" x14ac:dyDescent="0.25">
      <c r="A54" s="23">
        <v>49</v>
      </c>
      <c r="B54" s="43" t="s">
        <v>548</v>
      </c>
      <c r="C54" s="43" t="s">
        <v>549</v>
      </c>
      <c r="D54" s="43" t="s">
        <v>550</v>
      </c>
      <c r="E54" s="43" t="s">
        <v>551</v>
      </c>
      <c r="F54" s="43" t="s">
        <v>552</v>
      </c>
      <c r="G54" s="78" t="s">
        <v>342</v>
      </c>
      <c r="H54" s="43">
        <v>0.15</v>
      </c>
      <c r="I54" s="43" t="s">
        <v>553</v>
      </c>
      <c r="J54" s="43" t="s">
        <v>554</v>
      </c>
      <c r="K54" s="43" t="s">
        <v>555</v>
      </c>
      <c r="L54" s="48" t="s">
        <v>112</v>
      </c>
      <c r="M54" s="40" t="s">
        <v>29</v>
      </c>
      <c r="N54" s="40" t="s">
        <v>30</v>
      </c>
      <c r="O54" s="78" t="s">
        <v>113</v>
      </c>
      <c r="P54" s="28" t="s">
        <v>556</v>
      </c>
      <c r="Q54" s="104">
        <v>84.444444444444443</v>
      </c>
    </row>
    <row r="55" spans="1:17" ht="79.95" hidden="1" customHeight="1" x14ac:dyDescent="0.25">
      <c r="A55" s="23">
        <v>50</v>
      </c>
      <c r="B55" s="43" t="s">
        <v>519</v>
      </c>
      <c r="C55" s="43" t="s">
        <v>520</v>
      </c>
      <c r="D55" s="24" t="s">
        <v>521</v>
      </c>
      <c r="E55" s="43" t="s">
        <v>522</v>
      </c>
      <c r="F55" s="24" t="s">
        <v>523</v>
      </c>
      <c r="G55" s="24" t="s">
        <v>524</v>
      </c>
      <c r="H55" s="24">
        <v>0</v>
      </c>
      <c r="I55" s="24" t="s">
        <v>525</v>
      </c>
      <c r="J55" s="24" t="s">
        <v>30</v>
      </c>
      <c r="K55" s="24" t="s">
        <v>526</v>
      </c>
      <c r="L55" s="48">
        <v>46235</v>
      </c>
      <c r="M55" s="24" t="s">
        <v>29</v>
      </c>
      <c r="N55" s="24" t="s">
        <v>30</v>
      </c>
      <c r="O55" s="24" t="s">
        <v>527</v>
      </c>
      <c r="P55" s="28" t="s">
        <v>528</v>
      </c>
      <c r="Q55" s="104">
        <v>84.111111111111114</v>
      </c>
    </row>
    <row r="56" spans="1:17" ht="79.95" hidden="1" customHeight="1" x14ac:dyDescent="0.25">
      <c r="A56" s="23">
        <v>51</v>
      </c>
      <c r="B56" s="43" t="s">
        <v>557</v>
      </c>
      <c r="C56" s="43" t="s">
        <v>558</v>
      </c>
      <c r="D56" s="43" t="s">
        <v>559</v>
      </c>
      <c r="E56" s="43" t="s">
        <v>560</v>
      </c>
      <c r="F56" s="43" t="s">
        <v>561</v>
      </c>
      <c r="G56" s="43" t="s">
        <v>342</v>
      </c>
      <c r="H56" s="43">
        <v>0</v>
      </c>
      <c r="I56" s="43" t="s">
        <v>109</v>
      </c>
      <c r="J56" s="43" t="s">
        <v>30</v>
      </c>
      <c r="K56" s="43" t="s">
        <v>562</v>
      </c>
      <c r="L56" s="48" t="s">
        <v>112</v>
      </c>
      <c r="M56" s="24" t="s">
        <v>29</v>
      </c>
      <c r="N56" s="24" t="s">
        <v>30</v>
      </c>
      <c r="O56" s="43" t="s">
        <v>113</v>
      </c>
      <c r="P56" s="28" t="s">
        <v>563</v>
      </c>
      <c r="Q56" s="104">
        <v>84.111111111111114</v>
      </c>
    </row>
    <row r="57" spans="1:17" ht="79.95" customHeight="1" x14ac:dyDescent="0.25">
      <c r="A57" s="23">
        <v>52</v>
      </c>
      <c r="B57" s="25" t="s">
        <v>172</v>
      </c>
      <c r="C57" s="25" t="s">
        <v>34</v>
      </c>
      <c r="D57" s="27" t="s">
        <v>173</v>
      </c>
      <c r="E57" s="35" t="s">
        <v>174</v>
      </c>
      <c r="F57" s="35" t="s">
        <v>175</v>
      </c>
      <c r="G57" s="25" t="s">
        <v>165</v>
      </c>
      <c r="H57" s="28">
        <v>2000</v>
      </c>
      <c r="I57" s="25" t="s">
        <v>176</v>
      </c>
      <c r="J57" s="25" t="s">
        <v>177</v>
      </c>
      <c r="K57" s="25" t="s">
        <v>178</v>
      </c>
      <c r="L57" s="91">
        <v>46358</v>
      </c>
      <c r="M57" s="95" t="s">
        <v>169</v>
      </c>
      <c r="N57" s="95" t="s">
        <v>170</v>
      </c>
      <c r="O57" s="25" t="s">
        <v>42</v>
      </c>
      <c r="P57" s="28" t="s">
        <v>179</v>
      </c>
      <c r="Q57" s="103">
        <v>83.777777777777771</v>
      </c>
    </row>
    <row r="58" spans="1:17" ht="79.95" hidden="1" customHeight="1" x14ac:dyDescent="0.25">
      <c r="A58" s="23">
        <v>53</v>
      </c>
      <c r="B58" s="24" t="s">
        <v>582</v>
      </c>
      <c r="C58" s="24" t="s">
        <v>583</v>
      </c>
      <c r="D58" s="24" t="s">
        <v>584</v>
      </c>
      <c r="E58" s="24" t="s">
        <v>585</v>
      </c>
      <c r="F58" s="24" t="s">
        <v>586</v>
      </c>
      <c r="G58" s="24" t="s">
        <v>587</v>
      </c>
      <c r="H58" s="24">
        <v>4.5</v>
      </c>
      <c r="I58" s="24" t="s">
        <v>588</v>
      </c>
      <c r="J58" s="24" t="s">
        <v>589</v>
      </c>
      <c r="K58" s="24" t="s">
        <v>590</v>
      </c>
      <c r="L58" s="44">
        <v>46203</v>
      </c>
      <c r="M58" s="24" t="s">
        <v>252</v>
      </c>
      <c r="N58" s="24" t="s">
        <v>591</v>
      </c>
      <c r="O58" s="24" t="s">
        <v>592</v>
      </c>
      <c r="P58" s="24" t="s">
        <v>593</v>
      </c>
      <c r="Q58" s="104">
        <v>83.777777777777771</v>
      </c>
    </row>
    <row r="59" spans="1:17" ht="79.95" customHeight="1" x14ac:dyDescent="0.25">
      <c r="A59" s="23">
        <v>54</v>
      </c>
      <c r="B59" s="24" t="s">
        <v>216</v>
      </c>
      <c r="C59" s="24" t="s">
        <v>217</v>
      </c>
      <c r="D59" s="24" t="s">
        <v>218</v>
      </c>
      <c r="E59" s="24" t="s">
        <v>219</v>
      </c>
      <c r="F59" s="24" t="s">
        <v>220</v>
      </c>
      <c r="G59" s="24" t="s">
        <v>49</v>
      </c>
      <c r="H59" s="24">
        <v>0</v>
      </c>
      <c r="I59" s="24" t="s">
        <v>221</v>
      </c>
      <c r="J59" s="24" t="s">
        <v>61</v>
      </c>
      <c r="K59" s="24" t="s">
        <v>222</v>
      </c>
      <c r="L59" s="48" t="s">
        <v>112</v>
      </c>
      <c r="M59" s="53" t="s">
        <v>29</v>
      </c>
      <c r="N59" s="53" t="s">
        <v>30</v>
      </c>
      <c r="O59" s="24" t="s">
        <v>223</v>
      </c>
      <c r="P59" s="24" t="s">
        <v>224</v>
      </c>
      <c r="Q59" s="103">
        <v>83.444444444444443</v>
      </c>
    </row>
    <row r="60" spans="1:17" ht="79.95" hidden="1" customHeight="1" x14ac:dyDescent="0.25">
      <c r="A60" s="23">
        <v>55</v>
      </c>
      <c r="B60" s="24" t="s">
        <v>264</v>
      </c>
      <c r="C60" s="24" t="s">
        <v>207</v>
      </c>
      <c r="D60" s="24" t="s">
        <v>265</v>
      </c>
      <c r="E60" s="24" t="s">
        <v>266</v>
      </c>
      <c r="F60" s="24" t="s">
        <v>267</v>
      </c>
      <c r="G60" s="24" t="s">
        <v>268</v>
      </c>
      <c r="H60" s="24">
        <v>0</v>
      </c>
      <c r="I60" s="24" t="s">
        <v>269</v>
      </c>
      <c r="J60" s="24">
        <v>0</v>
      </c>
      <c r="K60" s="24" t="s">
        <v>270</v>
      </c>
      <c r="L60" s="52">
        <v>46357</v>
      </c>
      <c r="M60" s="24" t="s">
        <v>242</v>
      </c>
      <c r="N60" s="24" t="s">
        <v>271</v>
      </c>
      <c r="O60" s="24" t="s">
        <v>113</v>
      </c>
      <c r="P60" s="24" t="s">
        <v>272</v>
      </c>
      <c r="Q60" s="103">
        <v>83.111111111111114</v>
      </c>
    </row>
    <row r="61" spans="1:17" ht="79.95" customHeight="1" x14ac:dyDescent="0.25">
      <c r="A61" s="23">
        <v>56</v>
      </c>
      <c r="B61" s="27" t="s">
        <v>95</v>
      </c>
      <c r="C61" s="27" t="s">
        <v>34</v>
      </c>
      <c r="D61" s="27" t="s">
        <v>96</v>
      </c>
      <c r="E61" s="27" t="s">
        <v>97</v>
      </c>
      <c r="F61" s="27" t="s">
        <v>98</v>
      </c>
      <c r="G61" s="27" t="s">
        <v>99</v>
      </c>
      <c r="H61" s="27">
        <v>0</v>
      </c>
      <c r="I61" s="27" t="s">
        <v>100</v>
      </c>
      <c r="J61" s="27" t="s">
        <v>101</v>
      </c>
      <c r="K61" s="27" t="s">
        <v>102</v>
      </c>
      <c r="L61" s="47">
        <v>46357</v>
      </c>
      <c r="M61" s="24" t="s">
        <v>29</v>
      </c>
      <c r="N61" s="27" t="s">
        <v>30</v>
      </c>
      <c r="O61" s="24" t="s">
        <v>31</v>
      </c>
      <c r="P61" s="28" t="s">
        <v>103</v>
      </c>
      <c r="Q61" s="103">
        <v>82.888888888888886</v>
      </c>
    </row>
    <row r="62" spans="1:17" ht="79.95" customHeight="1" x14ac:dyDescent="0.25">
      <c r="A62" s="23">
        <v>57</v>
      </c>
      <c r="B62" s="27" t="s">
        <v>206</v>
      </c>
      <c r="C62" s="28" t="s">
        <v>207</v>
      </c>
      <c r="D62" s="27" t="s">
        <v>208</v>
      </c>
      <c r="E62" s="27" t="s">
        <v>209</v>
      </c>
      <c r="F62" s="27" t="s">
        <v>210</v>
      </c>
      <c r="G62" s="27" t="s">
        <v>211</v>
      </c>
      <c r="H62" s="32">
        <v>0</v>
      </c>
      <c r="I62" s="27" t="s">
        <v>120</v>
      </c>
      <c r="J62" s="27" t="s">
        <v>212</v>
      </c>
      <c r="K62" s="27" t="s">
        <v>213</v>
      </c>
      <c r="L62" s="52">
        <v>46387</v>
      </c>
      <c r="M62" s="27" t="s">
        <v>214</v>
      </c>
      <c r="N62" s="28" t="s">
        <v>30</v>
      </c>
      <c r="O62" s="24" t="s">
        <v>113</v>
      </c>
      <c r="P62" s="28" t="s">
        <v>215</v>
      </c>
      <c r="Q62" s="103">
        <v>82.444444444444443</v>
      </c>
    </row>
    <row r="63" spans="1:17" ht="79.95" customHeight="1" x14ac:dyDescent="0.25">
      <c r="A63" s="23">
        <v>58</v>
      </c>
      <c r="B63" s="27" t="s">
        <v>54</v>
      </c>
      <c r="C63" s="27" t="s">
        <v>34</v>
      </c>
      <c r="D63" s="27" t="s">
        <v>55</v>
      </c>
      <c r="E63" s="27" t="s">
        <v>56</v>
      </c>
      <c r="F63" s="27" t="s">
        <v>57</v>
      </c>
      <c r="G63" s="27" t="s">
        <v>58</v>
      </c>
      <c r="H63" s="28" t="s">
        <v>59</v>
      </c>
      <c r="I63" s="27" t="s">
        <v>60</v>
      </c>
      <c r="J63" s="28" t="s">
        <v>61</v>
      </c>
      <c r="K63" s="27" t="s">
        <v>62</v>
      </c>
      <c r="L63" s="46">
        <v>46387</v>
      </c>
      <c r="M63" s="24" t="s">
        <v>29</v>
      </c>
      <c r="N63" s="24" t="s">
        <v>30</v>
      </c>
      <c r="O63" s="27" t="s">
        <v>63</v>
      </c>
      <c r="P63" s="28" t="s">
        <v>64</v>
      </c>
      <c r="Q63" s="103">
        <v>81.111111111111114</v>
      </c>
    </row>
    <row r="64" spans="1:17" ht="79.95" customHeight="1" x14ac:dyDescent="0.25">
      <c r="A64" s="23">
        <v>59</v>
      </c>
      <c r="B64" s="27" t="s">
        <v>125</v>
      </c>
      <c r="C64" s="25" t="s">
        <v>34</v>
      </c>
      <c r="D64" s="27" t="s">
        <v>126</v>
      </c>
      <c r="E64" s="27" t="s">
        <v>127</v>
      </c>
      <c r="F64" s="27" t="s">
        <v>128</v>
      </c>
      <c r="G64" s="28" t="s">
        <v>49</v>
      </c>
      <c r="H64" s="28" t="s">
        <v>61</v>
      </c>
      <c r="I64" s="28" t="s">
        <v>129</v>
      </c>
      <c r="J64" s="25" t="s">
        <v>61</v>
      </c>
      <c r="K64" s="27" t="s">
        <v>130</v>
      </c>
      <c r="L64" s="49">
        <v>46174</v>
      </c>
      <c r="M64" s="24" t="s">
        <v>29</v>
      </c>
      <c r="N64" s="24" t="s">
        <v>30</v>
      </c>
      <c r="O64" s="24" t="s">
        <v>31</v>
      </c>
      <c r="P64" s="24" t="s">
        <v>131</v>
      </c>
      <c r="Q64" s="106">
        <v>80.777777777777771</v>
      </c>
    </row>
    <row r="65" spans="1:17" ht="79.95" customHeight="1" x14ac:dyDescent="0.25">
      <c r="A65" s="23">
        <v>60</v>
      </c>
      <c r="B65" s="24" t="s">
        <v>142</v>
      </c>
      <c r="C65" s="24" t="s">
        <v>83</v>
      </c>
      <c r="D65" s="24" t="s">
        <v>143</v>
      </c>
      <c r="E65" s="24" t="s">
        <v>144</v>
      </c>
      <c r="F65" s="24" t="s">
        <v>145</v>
      </c>
      <c r="G65" s="24" t="s">
        <v>49</v>
      </c>
      <c r="H65" s="24">
        <v>0</v>
      </c>
      <c r="I65" s="24" t="s">
        <v>146</v>
      </c>
      <c r="J65" s="24" t="s">
        <v>147</v>
      </c>
      <c r="K65" s="24" t="s">
        <v>148</v>
      </c>
      <c r="L65" s="48" t="s">
        <v>83</v>
      </c>
      <c r="M65" s="24" t="s">
        <v>29</v>
      </c>
      <c r="N65" s="24" t="s">
        <v>30</v>
      </c>
      <c r="O65" s="24" t="s">
        <v>31</v>
      </c>
      <c r="P65" s="24" t="s">
        <v>149</v>
      </c>
      <c r="Q65" s="105">
        <v>80.777777777777771</v>
      </c>
    </row>
    <row r="66" spans="1:17" ht="79.95" customHeight="1" x14ac:dyDescent="0.25">
      <c r="A66" s="23">
        <v>61</v>
      </c>
      <c r="B66" s="24" t="s">
        <v>65</v>
      </c>
      <c r="C66" s="24" t="s">
        <v>66</v>
      </c>
      <c r="D66" s="24" t="s">
        <v>67</v>
      </c>
      <c r="E66" s="24" t="s">
        <v>68</v>
      </c>
      <c r="F66" s="24" t="s">
        <v>69</v>
      </c>
      <c r="G66" s="24" t="s">
        <v>70</v>
      </c>
      <c r="H66" s="24">
        <v>99</v>
      </c>
      <c r="I66" s="24" t="s">
        <v>71</v>
      </c>
      <c r="J66" s="24" t="s">
        <v>72</v>
      </c>
      <c r="K66" s="24" t="s">
        <v>73</v>
      </c>
      <c r="L66" s="46">
        <v>46569</v>
      </c>
      <c r="M66" s="24" t="s">
        <v>29</v>
      </c>
      <c r="N66" s="27" t="s">
        <v>30</v>
      </c>
      <c r="O66" s="24" t="s">
        <v>63</v>
      </c>
      <c r="P66" s="24" t="s">
        <v>74</v>
      </c>
      <c r="Q66" s="103">
        <v>80.222222222222229</v>
      </c>
    </row>
    <row r="67" spans="1:17" ht="79.95" customHeight="1" x14ac:dyDescent="0.25">
      <c r="A67" s="23">
        <v>62</v>
      </c>
      <c r="B67" s="24" t="s">
        <v>132</v>
      </c>
      <c r="C67" s="24" t="s">
        <v>133</v>
      </c>
      <c r="D67" s="24" t="s">
        <v>134</v>
      </c>
      <c r="E67" s="24" t="s">
        <v>135</v>
      </c>
      <c r="F67" s="24" t="s">
        <v>136</v>
      </c>
      <c r="G67" s="24" t="s">
        <v>49</v>
      </c>
      <c r="H67" s="24">
        <v>0</v>
      </c>
      <c r="I67" s="24" t="s">
        <v>137</v>
      </c>
      <c r="J67" s="24" t="s">
        <v>138</v>
      </c>
      <c r="K67" s="24" t="s">
        <v>139</v>
      </c>
      <c r="L67" s="48" t="s">
        <v>112</v>
      </c>
      <c r="M67" s="24" t="s">
        <v>29</v>
      </c>
      <c r="N67" s="24" t="s">
        <v>30</v>
      </c>
      <c r="O67" s="24" t="s">
        <v>140</v>
      </c>
      <c r="P67" s="28" t="s">
        <v>141</v>
      </c>
      <c r="Q67" s="107">
        <v>78.888888888888886</v>
      </c>
    </row>
    <row r="68" spans="1:17" ht="79.95" customHeight="1" x14ac:dyDescent="0.25">
      <c r="A68" s="23">
        <v>63</v>
      </c>
      <c r="B68" s="24" t="s">
        <v>115</v>
      </c>
      <c r="C68" s="24" t="s">
        <v>116</v>
      </c>
      <c r="D68" s="24" t="s">
        <v>117</v>
      </c>
      <c r="E68" s="24" t="s">
        <v>118</v>
      </c>
      <c r="F68" s="24" t="s">
        <v>119</v>
      </c>
      <c r="G68" s="24" t="s">
        <v>49</v>
      </c>
      <c r="H68" s="24">
        <v>0</v>
      </c>
      <c r="I68" s="24" t="s">
        <v>120</v>
      </c>
      <c r="J68" s="24" t="s">
        <v>121</v>
      </c>
      <c r="K68" s="24" t="s">
        <v>122</v>
      </c>
      <c r="L68" s="48" t="s">
        <v>112</v>
      </c>
      <c r="M68" s="24" t="s">
        <v>29</v>
      </c>
      <c r="N68" s="24" t="s">
        <v>30</v>
      </c>
      <c r="O68" s="24" t="s">
        <v>123</v>
      </c>
      <c r="P68" s="28" t="s">
        <v>124</v>
      </c>
      <c r="Q68" s="106">
        <v>78.222222222222229</v>
      </c>
    </row>
  </sheetData>
  <autoFilter ref="A5:XFB68" xr:uid="{00000000-0009-0000-0000-000000000000}">
    <filterColumn colId="15">
      <filters>
        <filter val="生产技术部1"/>
        <filter val="生产技术部10"/>
        <filter val="生产技术部11"/>
        <filter val="生产技术部12"/>
        <filter val="生产技术部13"/>
        <filter val="生产技术部14"/>
        <filter val="生产技术部15"/>
        <filter val="生产技术部16"/>
        <filter val="生产技术部17"/>
        <filter val="生产技术部18"/>
        <filter val="生产技术部19"/>
        <filter val="生产技术部2"/>
        <filter val="生产技术部20"/>
        <filter val="生产技术部21"/>
        <filter val="生产技术部22"/>
        <filter val="生产技术部3"/>
        <filter val="生产技术部4"/>
        <filter val="生产技术部5"/>
        <filter val="生产技术部6"/>
        <filter val="生产技术部7"/>
        <filter val="生产技术部8"/>
        <filter val="生产技术部9"/>
      </filters>
    </filterColumn>
  </autoFilter>
  <sortState xmlns:xlrd2="http://schemas.microsoft.com/office/spreadsheetml/2017/richdata2" ref="A7:Q68">
    <sortCondition descending="1" ref="Q6:Q68"/>
  </sortState>
  <mergeCells count="19">
    <mergeCell ref="O4:O5"/>
    <mergeCell ref="P4:P5"/>
    <mergeCell ref="Q4:Q5"/>
    <mergeCell ref="R4:R5"/>
    <mergeCell ref="A1:Q1"/>
    <mergeCell ref="A2:Q2"/>
    <mergeCell ref="A3:Q3"/>
    <mergeCell ref="J4:K4"/>
    <mergeCell ref="A4:A5"/>
    <mergeCell ref="B4:B5"/>
    <mergeCell ref="C4:C5"/>
    <mergeCell ref="D4:D5"/>
    <mergeCell ref="E4:E5"/>
    <mergeCell ref="F4:F5"/>
    <mergeCell ref="G4:G5"/>
    <mergeCell ref="I4:I5"/>
    <mergeCell ref="L4:L5"/>
    <mergeCell ref="M4:M5"/>
    <mergeCell ref="N4:N5"/>
  </mergeCells>
  <phoneticPr fontId="34" type="noConversion"/>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2A2F8-0DD0-44D9-9402-8B5200805755}">
  <dimension ref="A1:N68"/>
  <sheetViews>
    <sheetView tabSelected="1" workbookViewId="0">
      <selection activeCell="N6" sqref="N6:N68"/>
    </sheetView>
  </sheetViews>
  <sheetFormatPr defaultRowHeight="14.4" x14ac:dyDescent="0.25"/>
  <cols>
    <col min="1" max="1" width="9" style="20"/>
    <col min="2" max="2" width="22.6640625" style="21" customWidth="1"/>
    <col min="3" max="11" width="13.77734375" style="21" customWidth="1"/>
    <col min="12" max="12" width="16.5546875" style="21" customWidth="1"/>
    <col min="13" max="13" width="8.44140625" style="20" customWidth="1"/>
    <col min="14" max="14" width="18" style="20" customWidth="1"/>
    <col min="15" max="16384" width="8.88671875" style="20"/>
  </cols>
  <sheetData>
    <row r="1" spans="1:14" x14ac:dyDescent="0.25">
      <c r="B1" s="20"/>
      <c r="C1" s="20"/>
      <c r="D1" s="20"/>
      <c r="E1" s="20"/>
      <c r="F1" s="20"/>
      <c r="G1" s="20"/>
      <c r="H1" s="20"/>
      <c r="I1" s="20"/>
      <c r="J1" s="20"/>
      <c r="K1" s="20"/>
      <c r="L1" s="20"/>
    </row>
    <row r="2" spans="1:14" x14ac:dyDescent="0.25">
      <c r="B2" s="20"/>
      <c r="C2" s="20"/>
      <c r="D2" s="20"/>
      <c r="E2" s="20"/>
      <c r="F2" s="20"/>
      <c r="G2" s="20"/>
      <c r="H2" s="20"/>
      <c r="I2" s="20"/>
      <c r="J2" s="20"/>
      <c r="K2" s="20"/>
      <c r="L2" s="20"/>
    </row>
    <row r="3" spans="1:14" x14ac:dyDescent="0.25">
      <c r="B3" s="20"/>
      <c r="C3" s="20"/>
      <c r="D3" s="20"/>
      <c r="E3" s="20"/>
      <c r="F3" s="20"/>
      <c r="G3" s="20"/>
      <c r="H3" s="20"/>
      <c r="I3" s="20"/>
      <c r="J3" s="20"/>
      <c r="K3" s="20"/>
      <c r="L3" s="20"/>
    </row>
    <row r="4" spans="1:14" ht="14.4" customHeight="1" x14ac:dyDescent="0.25">
      <c r="A4" s="123" t="s">
        <v>1</v>
      </c>
      <c r="B4" s="123" t="s">
        <v>2</v>
      </c>
      <c r="C4" s="128" t="s">
        <v>16</v>
      </c>
      <c r="D4" s="128" t="s">
        <v>16</v>
      </c>
      <c r="E4" s="128" t="s">
        <v>16</v>
      </c>
      <c r="F4" s="128" t="s">
        <v>16</v>
      </c>
      <c r="G4" s="128" t="s">
        <v>16</v>
      </c>
      <c r="H4" s="128" t="s">
        <v>16</v>
      </c>
      <c r="I4" s="128" t="s">
        <v>16</v>
      </c>
      <c r="J4" s="128" t="s">
        <v>16</v>
      </c>
      <c r="K4" s="130" t="s">
        <v>16</v>
      </c>
      <c r="L4" s="130" t="s">
        <v>651</v>
      </c>
      <c r="M4" s="142" t="s">
        <v>649</v>
      </c>
      <c r="N4" s="142" t="s">
        <v>652</v>
      </c>
    </row>
    <row r="5" spans="1:14" ht="14.4" customHeight="1" x14ac:dyDescent="0.25">
      <c r="A5" s="122"/>
      <c r="B5" s="122"/>
      <c r="C5" s="129"/>
      <c r="D5" s="129"/>
      <c r="E5" s="129"/>
      <c r="F5" s="129"/>
      <c r="G5" s="129"/>
      <c r="H5" s="129"/>
      <c r="I5" s="129"/>
      <c r="J5" s="129"/>
      <c r="K5" s="131"/>
      <c r="L5" s="129"/>
      <c r="M5" s="142"/>
      <c r="N5" s="142"/>
    </row>
    <row r="6" spans="1:14" ht="28.8" x14ac:dyDescent="0.25">
      <c r="A6" s="23">
        <v>1</v>
      </c>
      <c r="B6" s="23" t="s">
        <v>20</v>
      </c>
      <c r="C6" s="59">
        <v>86</v>
      </c>
      <c r="D6" s="59">
        <v>90</v>
      </c>
      <c r="E6" s="59">
        <v>93</v>
      </c>
      <c r="F6" s="59">
        <v>85</v>
      </c>
      <c r="G6" s="59">
        <v>79</v>
      </c>
      <c r="H6" s="59">
        <v>91</v>
      </c>
      <c r="I6" s="59">
        <v>77</v>
      </c>
      <c r="J6" s="59">
        <v>78</v>
      </c>
      <c r="K6" s="66">
        <v>98</v>
      </c>
      <c r="L6" s="59"/>
      <c r="M6" s="20">
        <f>AVERAGE(C6:L6)</f>
        <v>86.333333333333329</v>
      </c>
      <c r="N6" s="20">
        <f>AVERAGE(C6:K6)</f>
        <v>86.333333333333329</v>
      </c>
    </row>
    <row r="7" spans="1:14" ht="27.6" x14ac:dyDescent="0.25">
      <c r="A7" s="23">
        <v>2</v>
      </c>
      <c r="B7" s="70" t="s">
        <v>33</v>
      </c>
      <c r="C7" s="59">
        <v>88</v>
      </c>
      <c r="D7" s="59">
        <v>90</v>
      </c>
      <c r="E7" s="59">
        <v>92</v>
      </c>
      <c r="F7" s="59">
        <v>83</v>
      </c>
      <c r="G7" s="59">
        <v>79</v>
      </c>
      <c r="H7" s="59">
        <v>87</v>
      </c>
      <c r="I7" s="59">
        <v>70</v>
      </c>
      <c r="J7" s="59">
        <v>81</v>
      </c>
      <c r="K7" s="66">
        <v>91</v>
      </c>
      <c r="L7" s="59"/>
      <c r="M7" s="20">
        <f t="shared" ref="M6:M37" si="0">AVERAGE(C7:L7)</f>
        <v>84.555555555555557</v>
      </c>
      <c r="N7" s="20">
        <f t="shared" ref="N7:N68" si="1">AVERAGE(C7:K7)</f>
        <v>84.555555555555557</v>
      </c>
    </row>
    <row r="8" spans="1:14" ht="43.2" x14ac:dyDescent="0.25">
      <c r="A8" s="23">
        <v>3</v>
      </c>
      <c r="B8" s="23" t="s">
        <v>44</v>
      </c>
      <c r="C8" s="59">
        <v>91</v>
      </c>
      <c r="D8" s="59">
        <v>85</v>
      </c>
      <c r="E8" s="59">
        <v>92</v>
      </c>
      <c r="F8" s="59">
        <v>81</v>
      </c>
      <c r="G8" s="59">
        <v>74</v>
      </c>
      <c r="H8" s="59">
        <v>91</v>
      </c>
      <c r="I8" s="59">
        <v>84</v>
      </c>
      <c r="J8" s="59">
        <v>76</v>
      </c>
      <c r="K8" s="66">
        <v>91</v>
      </c>
      <c r="L8" s="59"/>
      <c r="M8" s="20">
        <f t="shared" si="0"/>
        <v>85</v>
      </c>
      <c r="N8" s="20">
        <f t="shared" si="1"/>
        <v>85</v>
      </c>
    </row>
    <row r="9" spans="1:14" ht="28.8" x14ac:dyDescent="0.25">
      <c r="A9" s="23">
        <v>4</v>
      </c>
      <c r="B9" s="71" t="s">
        <v>54</v>
      </c>
      <c r="C9" s="59">
        <v>84</v>
      </c>
      <c r="D9" s="59">
        <v>88</v>
      </c>
      <c r="E9" s="59">
        <v>87</v>
      </c>
      <c r="F9" s="59">
        <v>70</v>
      </c>
      <c r="G9" s="59">
        <v>72</v>
      </c>
      <c r="H9" s="59">
        <v>88</v>
      </c>
      <c r="I9" s="59">
        <v>74</v>
      </c>
      <c r="J9" s="59">
        <v>80</v>
      </c>
      <c r="K9" s="66">
        <v>87</v>
      </c>
      <c r="L9" s="59"/>
      <c r="M9" s="20">
        <f t="shared" si="0"/>
        <v>81.111111111111114</v>
      </c>
      <c r="N9" s="20">
        <f t="shared" si="1"/>
        <v>81.111111111111114</v>
      </c>
    </row>
    <row r="10" spans="1:14" ht="43.2" x14ac:dyDescent="0.25">
      <c r="A10" s="23">
        <v>5</v>
      </c>
      <c r="B10" s="23" t="s">
        <v>65</v>
      </c>
      <c r="C10" s="59">
        <v>84</v>
      </c>
      <c r="D10" s="59">
        <v>86</v>
      </c>
      <c r="E10" s="59">
        <v>87</v>
      </c>
      <c r="F10" s="59">
        <v>70</v>
      </c>
      <c r="G10" s="59">
        <v>69</v>
      </c>
      <c r="H10" s="59">
        <v>87</v>
      </c>
      <c r="I10" s="59">
        <v>75</v>
      </c>
      <c r="J10" s="59">
        <v>77</v>
      </c>
      <c r="K10" s="66">
        <v>87</v>
      </c>
      <c r="L10" s="59"/>
      <c r="M10" s="20">
        <f t="shared" si="0"/>
        <v>80.222222222222229</v>
      </c>
      <c r="N10" s="20">
        <f t="shared" si="1"/>
        <v>80.222222222222229</v>
      </c>
    </row>
    <row r="11" spans="1:14" ht="41.4" x14ac:dyDescent="0.25">
      <c r="A11" s="23">
        <v>6</v>
      </c>
      <c r="B11" s="70" t="s">
        <v>75</v>
      </c>
      <c r="C11" s="59">
        <v>84</v>
      </c>
      <c r="D11" s="59">
        <v>91</v>
      </c>
      <c r="E11" s="59">
        <v>93</v>
      </c>
      <c r="F11" s="59">
        <v>82</v>
      </c>
      <c r="G11" s="59">
        <v>71</v>
      </c>
      <c r="H11" s="59">
        <v>94</v>
      </c>
      <c r="I11" s="59">
        <v>84</v>
      </c>
      <c r="J11" s="59">
        <v>88</v>
      </c>
      <c r="K11" s="66">
        <v>95</v>
      </c>
      <c r="L11" s="59"/>
      <c r="M11" s="20">
        <f t="shared" si="0"/>
        <v>86.888888888888886</v>
      </c>
      <c r="N11" s="20">
        <f t="shared" si="1"/>
        <v>86.888888888888886</v>
      </c>
    </row>
    <row r="12" spans="1:14" ht="28.8" x14ac:dyDescent="0.25">
      <c r="A12" s="23">
        <v>7</v>
      </c>
      <c r="B12" s="23" t="s">
        <v>85</v>
      </c>
      <c r="C12" s="59">
        <v>92</v>
      </c>
      <c r="D12" s="59">
        <v>93</v>
      </c>
      <c r="E12" s="59">
        <v>86</v>
      </c>
      <c r="F12" s="59">
        <v>93</v>
      </c>
      <c r="G12" s="59">
        <v>91</v>
      </c>
      <c r="H12" s="59">
        <v>93</v>
      </c>
      <c r="I12" s="59">
        <v>70</v>
      </c>
      <c r="J12" s="59">
        <v>92</v>
      </c>
      <c r="K12" s="66">
        <v>99</v>
      </c>
      <c r="L12" s="59"/>
      <c r="M12" s="20">
        <f t="shared" si="0"/>
        <v>89.888888888888886</v>
      </c>
      <c r="N12" s="20">
        <f t="shared" si="1"/>
        <v>89.888888888888886</v>
      </c>
    </row>
    <row r="13" spans="1:14" ht="28.8" x14ac:dyDescent="0.25">
      <c r="A13" s="23">
        <v>8</v>
      </c>
      <c r="B13" s="71" t="s">
        <v>95</v>
      </c>
      <c r="C13" s="59">
        <v>78</v>
      </c>
      <c r="D13" s="59">
        <v>91</v>
      </c>
      <c r="E13" s="59">
        <v>86</v>
      </c>
      <c r="F13" s="59">
        <v>82</v>
      </c>
      <c r="G13" s="59">
        <v>79</v>
      </c>
      <c r="H13" s="59">
        <v>87</v>
      </c>
      <c r="I13" s="59">
        <v>75</v>
      </c>
      <c r="J13" s="59">
        <v>75</v>
      </c>
      <c r="K13" s="66">
        <v>93</v>
      </c>
      <c r="L13" s="59"/>
      <c r="M13" s="20">
        <f t="shared" si="0"/>
        <v>82.888888888888886</v>
      </c>
      <c r="N13" s="20">
        <f t="shared" si="1"/>
        <v>82.888888888888886</v>
      </c>
    </row>
    <row r="14" spans="1:14" ht="28.8" x14ac:dyDescent="0.25">
      <c r="A14" s="23">
        <v>9</v>
      </c>
      <c r="B14" s="23" t="s">
        <v>104</v>
      </c>
      <c r="C14" s="59">
        <v>78</v>
      </c>
      <c r="D14" s="59">
        <v>85</v>
      </c>
      <c r="E14" s="59">
        <v>93</v>
      </c>
      <c r="F14" s="59">
        <v>83</v>
      </c>
      <c r="G14" s="59">
        <v>82</v>
      </c>
      <c r="H14" s="59">
        <v>90</v>
      </c>
      <c r="I14" s="59">
        <v>78</v>
      </c>
      <c r="J14" s="59">
        <v>80</v>
      </c>
      <c r="K14" s="66">
        <v>92</v>
      </c>
      <c r="L14" s="59"/>
      <c r="M14" s="20">
        <f t="shared" si="0"/>
        <v>84.555555555555557</v>
      </c>
      <c r="N14" s="20">
        <f t="shared" si="1"/>
        <v>84.555555555555557</v>
      </c>
    </row>
    <row r="15" spans="1:14" ht="43.2" x14ac:dyDescent="0.25">
      <c r="A15" s="23">
        <v>10</v>
      </c>
      <c r="B15" s="23" t="s">
        <v>115</v>
      </c>
      <c r="C15" s="60">
        <v>75</v>
      </c>
      <c r="D15" s="60">
        <v>85</v>
      </c>
      <c r="E15" s="60">
        <v>92</v>
      </c>
      <c r="F15" s="60">
        <v>70</v>
      </c>
      <c r="G15" s="60">
        <v>62</v>
      </c>
      <c r="H15" s="60">
        <v>89</v>
      </c>
      <c r="I15" s="60">
        <v>70</v>
      </c>
      <c r="J15" s="60">
        <v>73</v>
      </c>
      <c r="K15" s="67">
        <v>88</v>
      </c>
      <c r="L15" s="60"/>
      <c r="M15" s="20">
        <f t="shared" si="0"/>
        <v>78.222222222222229</v>
      </c>
      <c r="N15" s="20">
        <f t="shared" si="1"/>
        <v>78.222222222222229</v>
      </c>
    </row>
    <row r="16" spans="1:14" ht="28.8" x14ac:dyDescent="0.25">
      <c r="A16" s="23">
        <v>11</v>
      </c>
      <c r="B16" s="72" t="s">
        <v>125</v>
      </c>
      <c r="C16" s="60">
        <v>75</v>
      </c>
      <c r="D16" s="60">
        <v>90</v>
      </c>
      <c r="E16" s="60">
        <v>87</v>
      </c>
      <c r="F16" s="60">
        <v>82</v>
      </c>
      <c r="G16" s="60">
        <v>63</v>
      </c>
      <c r="H16" s="60">
        <v>86</v>
      </c>
      <c r="I16" s="60">
        <v>76</v>
      </c>
      <c r="J16" s="60">
        <v>79</v>
      </c>
      <c r="K16" s="67">
        <v>89</v>
      </c>
      <c r="L16" s="60"/>
      <c r="M16" s="20">
        <f t="shared" si="0"/>
        <v>80.777777777777771</v>
      </c>
      <c r="N16" s="20">
        <f t="shared" si="1"/>
        <v>80.777777777777771</v>
      </c>
    </row>
    <row r="17" spans="1:14" ht="28.8" x14ac:dyDescent="0.25">
      <c r="A17" s="23">
        <v>12</v>
      </c>
      <c r="B17" s="23" t="s">
        <v>132</v>
      </c>
      <c r="C17" s="62">
        <v>78</v>
      </c>
      <c r="D17" s="62">
        <v>88</v>
      </c>
      <c r="E17" s="62">
        <v>87</v>
      </c>
      <c r="F17" s="62">
        <v>70</v>
      </c>
      <c r="G17" s="62">
        <v>63</v>
      </c>
      <c r="H17" s="62">
        <v>85</v>
      </c>
      <c r="I17" s="62">
        <v>76</v>
      </c>
      <c r="J17" s="62">
        <v>76</v>
      </c>
      <c r="K17" s="68">
        <v>87</v>
      </c>
      <c r="L17" s="62"/>
      <c r="M17" s="20">
        <f t="shared" si="0"/>
        <v>78.888888888888886</v>
      </c>
      <c r="N17" s="20">
        <f t="shared" si="1"/>
        <v>78.888888888888886</v>
      </c>
    </row>
    <row r="18" spans="1:14" ht="28.8" x14ac:dyDescent="0.25">
      <c r="A18" s="23">
        <v>13</v>
      </c>
      <c r="B18" s="23" t="s">
        <v>142</v>
      </c>
      <c r="C18" s="63">
        <v>84</v>
      </c>
      <c r="D18" s="63">
        <v>90</v>
      </c>
      <c r="E18" s="63">
        <v>87</v>
      </c>
      <c r="F18" s="63">
        <v>75</v>
      </c>
      <c r="G18" s="63">
        <v>63</v>
      </c>
      <c r="H18" s="63">
        <v>85</v>
      </c>
      <c r="I18" s="63">
        <v>72</v>
      </c>
      <c r="J18" s="63">
        <v>85</v>
      </c>
      <c r="K18" s="69">
        <v>86</v>
      </c>
      <c r="L18" s="63"/>
      <c r="M18" s="20">
        <f t="shared" si="0"/>
        <v>80.777777777777771</v>
      </c>
      <c r="N18" s="20">
        <f t="shared" si="1"/>
        <v>80.777777777777771</v>
      </c>
    </row>
    <row r="19" spans="1:14" ht="28.8" x14ac:dyDescent="0.25">
      <c r="A19" s="23">
        <v>14</v>
      </c>
      <c r="B19" s="23" t="s">
        <v>150</v>
      </c>
      <c r="C19" s="63">
        <v>88</v>
      </c>
      <c r="D19" s="63">
        <v>92</v>
      </c>
      <c r="E19" s="63">
        <v>87</v>
      </c>
      <c r="F19" s="63">
        <v>75</v>
      </c>
      <c r="G19" s="63">
        <v>82</v>
      </c>
      <c r="H19" s="63">
        <v>85</v>
      </c>
      <c r="I19" s="63">
        <v>89</v>
      </c>
      <c r="J19" s="63">
        <v>88</v>
      </c>
      <c r="K19" s="69">
        <v>94</v>
      </c>
      <c r="L19" s="63"/>
      <c r="M19" s="20">
        <f t="shared" si="0"/>
        <v>86.666666666666671</v>
      </c>
      <c r="N19" s="20">
        <f t="shared" si="1"/>
        <v>86.666666666666671</v>
      </c>
    </row>
    <row r="20" spans="1:14" ht="27.6" x14ac:dyDescent="0.25">
      <c r="A20" s="23">
        <v>15</v>
      </c>
      <c r="B20" s="73" t="s">
        <v>161</v>
      </c>
      <c r="C20" s="59">
        <v>88</v>
      </c>
      <c r="D20" s="59">
        <v>90</v>
      </c>
      <c r="E20" s="59">
        <v>86</v>
      </c>
      <c r="F20" s="59">
        <v>78</v>
      </c>
      <c r="G20" s="59">
        <v>81</v>
      </c>
      <c r="H20" s="59">
        <v>84</v>
      </c>
      <c r="I20" s="59">
        <v>91</v>
      </c>
      <c r="J20" s="59">
        <v>78</v>
      </c>
      <c r="K20" s="66">
        <v>87</v>
      </c>
      <c r="L20" s="59"/>
      <c r="M20" s="20">
        <f t="shared" si="0"/>
        <v>84.777777777777771</v>
      </c>
      <c r="N20" s="20">
        <f t="shared" si="1"/>
        <v>84.777777777777771</v>
      </c>
    </row>
    <row r="21" spans="1:14" ht="27.6" x14ac:dyDescent="0.25">
      <c r="A21" s="23">
        <v>16</v>
      </c>
      <c r="B21" s="73" t="s">
        <v>172</v>
      </c>
      <c r="C21" s="59">
        <v>84</v>
      </c>
      <c r="D21" s="59">
        <v>90</v>
      </c>
      <c r="E21" s="59">
        <v>86</v>
      </c>
      <c r="F21" s="59">
        <v>78</v>
      </c>
      <c r="G21" s="59">
        <v>83</v>
      </c>
      <c r="H21" s="59">
        <v>85</v>
      </c>
      <c r="I21" s="59">
        <v>82</v>
      </c>
      <c r="J21" s="59">
        <v>75</v>
      </c>
      <c r="K21" s="66">
        <v>91</v>
      </c>
      <c r="L21" s="59"/>
      <c r="M21" s="20">
        <f t="shared" si="0"/>
        <v>83.777777777777771</v>
      </c>
      <c r="N21" s="20">
        <f t="shared" si="1"/>
        <v>83.777777777777771</v>
      </c>
    </row>
    <row r="22" spans="1:14" ht="27.6" x14ac:dyDescent="0.25">
      <c r="A22" s="23">
        <v>17</v>
      </c>
      <c r="B22" s="73" t="s">
        <v>180</v>
      </c>
      <c r="C22" s="59">
        <v>88</v>
      </c>
      <c r="D22" s="59">
        <v>91</v>
      </c>
      <c r="E22" s="59">
        <v>91</v>
      </c>
      <c r="F22" s="59">
        <v>78</v>
      </c>
      <c r="G22" s="59">
        <v>80</v>
      </c>
      <c r="H22" s="59">
        <v>90</v>
      </c>
      <c r="I22" s="59">
        <v>80</v>
      </c>
      <c r="J22" s="59">
        <v>76</v>
      </c>
      <c r="K22" s="66">
        <v>92</v>
      </c>
      <c r="L22" s="59"/>
      <c r="M22" s="20">
        <f t="shared" si="0"/>
        <v>85.111111111111114</v>
      </c>
      <c r="N22" s="20">
        <f t="shared" si="1"/>
        <v>85.111111111111114</v>
      </c>
    </row>
    <row r="23" spans="1:14" ht="27.6" x14ac:dyDescent="0.25">
      <c r="A23" s="23">
        <v>18</v>
      </c>
      <c r="B23" s="73" t="s">
        <v>188</v>
      </c>
      <c r="C23" s="59">
        <v>88</v>
      </c>
      <c r="D23" s="59">
        <v>92</v>
      </c>
      <c r="E23" s="59">
        <v>92</v>
      </c>
      <c r="F23" s="59">
        <v>78</v>
      </c>
      <c r="G23" s="59">
        <v>81</v>
      </c>
      <c r="H23" s="59">
        <v>93</v>
      </c>
      <c r="I23" s="59">
        <v>82</v>
      </c>
      <c r="J23" s="59">
        <v>74</v>
      </c>
      <c r="K23" s="66">
        <v>87</v>
      </c>
      <c r="L23" s="59"/>
      <c r="M23" s="20">
        <f t="shared" si="0"/>
        <v>85.222222222222229</v>
      </c>
      <c r="N23" s="20">
        <f t="shared" si="1"/>
        <v>85.222222222222229</v>
      </c>
    </row>
    <row r="24" spans="1:14" ht="41.4" x14ac:dyDescent="0.25">
      <c r="A24" s="23">
        <v>19</v>
      </c>
      <c r="B24" s="73" t="s">
        <v>196</v>
      </c>
      <c r="C24" s="59">
        <v>86</v>
      </c>
      <c r="D24" s="59">
        <v>90</v>
      </c>
      <c r="E24" s="59">
        <v>93</v>
      </c>
      <c r="F24" s="59">
        <v>90</v>
      </c>
      <c r="G24" s="59">
        <v>81</v>
      </c>
      <c r="H24" s="59">
        <v>91</v>
      </c>
      <c r="I24" s="59">
        <v>86</v>
      </c>
      <c r="J24" s="59">
        <v>71</v>
      </c>
      <c r="K24" s="66">
        <v>92</v>
      </c>
      <c r="L24" s="59"/>
      <c r="M24" s="20">
        <f t="shared" si="0"/>
        <v>86.666666666666671</v>
      </c>
      <c r="N24" s="20">
        <f t="shared" si="1"/>
        <v>86.666666666666671</v>
      </c>
    </row>
    <row r="25" spans="1:14" ht="28.8" x14ac:dyDescent="0.25">
      <c r="A25" s="23">
        <v>20</v>
      </c>
      <c r="B25" s="71" t="s">
        <v>206</v>
      </c>
      <c r="C25" s="59">
        <v>86</v>
      </c>
      <c r="D25" s="59">
        <v>91</v>
      </c>
      <c r="E25" s="59">
        <v>86</v>
      </c>
      <c r="F25" s="59">
        <v>82</v>
      </c>
      <c r="G25" s="59">
        <v>82</v>
      </c>
      <c r="H25" s="59">
        <v>84</v>
      </c>
      <c r="I25" s="59">
        <v>70</v>
      </c>
      <c r="J25" s="59">
        <v>70</v>
      </c>
      <c r="K25" s="66">
        <v>91</v>
      </c>
      <c r="L25" s="59"/>
      <c r="M25" s="20">
        <f t="shared" si="0"/>
        <v>82.444444444444443</v>
      </c>
      <c r="N25" s="20">
        <f t="shared" si="1"/>
        <v>82.444444444444443</v>
      </c>
    </row>
    <row r="26" spans="1:14" ht="28.8" x14ac:dyDescent="0.25">
      <c r="A26" s="23">
        <v>21</v>
      </c>
      <c r="B26" s="23" t="s">
        <v>216</v>
      </c>
      <c r="C26" s="59">
        <v>75</v>
      </c>
      <c r="D26" s="59">
        <v>88</v>
      </c>
      <c r="E26" s="59">
        <v>87</v>
      </c>
      <c r="F26" s="59">
        <v>75</v>
      </c>
      <c r="G26" s="59">
        <v>81</v>
      </c>
      <c r="H26" s="59">
        <v>85</v>
      </c>
      <c r="I26" s="59">
        <v>84</v>
      </c>
      <c r="J26" s="59">
        <v>79</v>
      </c>
      <c r="K26" s="66">
        <v>97</v>
      </c>
      <c r="L26" s="59"/>
      <c r="M26" s="20">
        <f t="shared" si="0"/>
        <v>83.444444444444443</v>
      </c>
      <c r="N26" s="20">
        <f t="shared" si="1"/>
        <v>83.444444444444443</v>
      </c>
    </row>
    <row r="27" spans="1:14" ht="24" x14ac:dyDescent="0.25">
      <c r="A27" s="23">
        <v>22</v>
      </c>
      <c r="B27" s="74" t="s">
        <v>225</v>
      </c>
      <c r="C27" s="59">
        <v>75</v>
      </c>
      <c r="D27" s="59">
        <v>89</v>
      </c>
      <c r="E27" s="59">
        <v>91</v>
      </c>
      <c r="F27" s="59">
        <v>91</v>
      </c>
      <c r="G27" s="59">
        <v>83</v>
      </c>
      <c r="H27" s="59">
        <v>88</v>
      </c>
      <c r="I27" s="59">
        <v>82</v>
      </c>
      <c r="J27" s="59">
        <v>76</v>
      </c>
      <c r="K27" s="66">
        <v>88</v>
      </c>
      <c r="L27" s="59"/>
      <c r="M27" s="20">
        <f t="shared" si="0"/>
        <v>84.777777777777771</v>
      </c>
      <c r="N27" s="20">
        <f t="shared" si="1"/>
        <v>84.777777777777771</v>
      </c>
    </row>
    <row r="28" spans="1:14" ht="43.2" x14ac:dyDescent="0.25">
      <c r="A28" s="23">
        <v>23</v>
      </c>
      <c r="B28" s="23" t="s">
        <v>235</v>
      </c>
      <c r="C28" s="59"/>
      <c r="D28" s="59">
        <v>88</v>
      </c>
      <c r="E28" s="59">
        <v>87</v>
      </c>
      <c r="F28" s="59">
        <v>92</v>
      </c>
      <c r="G28" s="59">
        <v>82</v>
      </c>
      <c r="H28" s="59">
        <v>91</v>
      </c>
      <c r="I28" s="59">
        <v>81</v>
      </c>
      <c r="J28" s="59">
        <v>80</v>
      </c>
      <c r="K28" s="66">
        <v>96</v>
      </c>
      <c r="L28" s="59">
        <v>93</v>
      </c>
      <c r="M28" s="20">
        <f t="shared" si="0"/>
        <v>87.777777777777771</v>
      </c>
      <c r="N28" s="20">
        <f t="shared" si="1"/>
        <v>87.125</v>
      </c>
    </row>
    <row r="29" spans="1:14" ht="28.8" x14ac:dyDescent="0.25">
      <c r="A29" s="23">
        <v>24</v>
      </c>
      <c r="B29" s="23" t="s">
        <v>245</v>
      </c>
      <c r="C29" s="59"/>
      <c r="D29" s="59">
        <v>90</v>
      </c>
      <c r="E29" s="59">
        <v>93</v>
      </c>
      <c r="F29" s="59">
        <v>80</v>
      </c>
      <c r="G29" s="59">
        <v>81</v>
      </c>
      <c r="H29" s="59">
        <v>92</v>
      </c>
      <c r="I29" s="59">
        <v>90</v>
      </c>
      <c r="J29" s="59">
        <v>81</v>
      </c>
      <c r="K29" s="66">
        <v>89</v>
      </c>
      <c r="L29" s="59">
        <v>95</v>
      </c>
      <c r="M29" s="20">
        <f t="shared" si="0"/>
        <v>87.888888888888886</v>
      </c>
      <c r="N29" s="20">
        <f t="shared" si="1"/>
        <v>87</v>
      </c>
    </row>
    <row r="30" spans="1:14" ht="28.8" x14ac:dyDescent="0.25">
      <c r="A30" s="23">
        <v>25</v>
      </c>
      <c r="B30" s="23" t="s">
        <v>256</v>
      </c>
      <c r="C30" s="59"/>
      <c r="D30" s="59">
        <v>90</v>
      </c>
      <c r="E30" s="59">
        <v>86</v>
      </c>
      <c r="F30" s="59">
        <v>90</v>
      </c>
      <c r="G30" s="59">
        <v>82</v>
      </c>
      <c r="H30" s="59">
        <v>87</v>
      </c>
      <c r="I30" s="59">
        <v>84</v>
      </c>
      <c r="J30" s="59">
        <v>77</v>
      </c>
      <c r="K30" s="66">
        <v>92</v>
      </c>
      <c r="L30" s="59">
        <v>96</v>
      </c>
      <c r="M30" s="20">
        <f t="shared" si="0"/>
        <v>87.111111111111114</v>
      </c>
      <c r="N30" s="20">
        <f t="shared" si="1"/>
        <v>86</v>
      </c>
    </row>
    <row r="31" spans="1:14" ht="15.6" x14ac:dyDescent="0.25">
      <c r="A31" s="23">
        <v>26</v>
      </c>
      <c r="B31" s="75" t="s">
        <v>264</v>
      </c>
      <c r="C31" s="59"/>
      <c r="D31" s="59">
        <v>86</v>
      </c>
      <c r="E31" s="59">
        <v>92</v>
      </c>
      <c r="F31" s="59">
        <v>70</v>
      </c>
      <c r="G31" s="59">
        <v>80</v>
      </c>
      <c r="H31" s="59">
        <v>89</v>
      </c>
      <c r="I31" s="59">
        <v>82</v>
      </c>
      <c r="J31" s="59">
        <v>73</v>
      </c>
      <c r="K31" s="66">
        <v>86</v>
      </c>
      <c r="L31" s="59">
        <v>90</v>
      </c>
      <c r="M31" s="20">
        <f t="shared" si="0"/>
        <v>83.111111111111114</v>
      </c>
      <c r="N31" s="20">
        <f t="shared" si="1"/>
        <v>82.25</v>
      </c>
    </row>
    <row r="32" spans="1:14" ht="28.8" x14ac:dyDescent="0.25">
      <c r="A32" s="23">
        <v>27</v>
      </c>
      <c r="B32" s="23" t="s">
        <v>273</v>
      </c>
      <c r="C32" s="59">
        <v>84</v>
      </c>
      <c r="D32" s="59">
        <v>90</v>
      </c>
      <c r="E32" s="59" t="s">
        <v>61</v>
      </c>
      <c r="F32" s="59">
        <v>90</v>
      </c>
      <c r="G32" s="59">
        <v>79</v>
      </c>
      <c r="H32" s="59">
        <v>96</v>
      </c>
      <c r="I32" s="59">
        <v>84</v>
      </c>
      <c r="J32" s="59">
        <v>76</v>
      </c>
      <c r="K32" s="66">
        <v>86</v>
      </c>
      <c r="L32" s="59">
        <v>90</v>
      </c>
      <c r="M32" s="20">
        <f t="shared" si="0"/>
        <v>86.111111111111114</v>
      </c>
      <c r="N32" s="20">
        <f t="shared" si="1"/>
        <v>85.625</v>
      </c>
    </row>
    <row r="33" spans="1:14" ht="43.2" x14ac:dyDescent="0.25">
      <c r="A33" s="23">
        <v>28</v>
      </c>
      <c r="B33" s="76" t="s">
        <v>284</v>
      </c>
      <c r="C33" s="59">
        <v>75</v>
      </c>
      <c r="D33" s="59">
        <v>90</v>
      </c>
      <c r="E33" s="59" t="s">
        <v>61</v>
      </c>
      <c r="F33" s="59">
        <v>75</v>
      </c>
      <c r="G33" s="59">
        <v>81</v>
      </c>
      <c r="H33" s="59">
        <v>98</v>
      </c>
      <c r="I33" s="59">
        <v>84</v>
      </c>
      <c r="J33" s="59">
        <v>80</v>
      </c>
      <c r="K33" s="66">
        <v>96</v>
      </c>
      <c r="L33" s="59">
        <v>92</v>
      </c>
      <c r="M33" s="20">
        <f t="shared" si="0"/>
        <v>85.666666666666671</v>
      </c>
      <c r="N33" s="20">
        <f t="shared" si="1"/>
        <v>84.875</v>
      </c>
    </row>
    <row r="34" spans="1:14" ht="28.8" x14ac:dyDescent="0.25">
      <c r="A34" s="23">
        <v>29</v>
      </c>
      <c r="B34" s="76" t="s">
        <v>294</v>
      </c>
      <c r="C34" s="59">
        <v>88</v>
      </c>
      <c r="D34" s="59">
        <v>90</v>
      </c>
      <c r="E34" s="59" t="s">
        <v>61</v>
      </c>
      <c r="F34" s="59">
        <v>85</v>
      </c>
      <c r="G34" s="59">
        <v>83</v>
      </c>
      <c r="H34" s="59">
        <v>94</v>
      </c>
      <c r="I34" s="59">
        <v>82</v>
      </c>
      <c r="J34" s="59">
        <v>84</v>
      </c>
      <c r="K34" s="66">
        <v>89</v>
      </c>
      <c r="L34" s="59">
        <v>91</v>
      </c>
      <c r="M34" s="20">
        <f t="shared" si="0"/>
        <v>87.333333333333329</v>
      </c>
      <c r="N34" s="20">
        <f t="shared" si="1"/>
        <v>86.875</v>
      </c>
    </row>
    <row r="35" spans="1:14" ht="28.8" x14ac:dyDescent="0.25">
      <c r="A35" s="23">
        <v>30</v>
      </c>
      <c r="B35" s="23" t="s">
        <v>302</v>
      </c>
      <c r="C35" s="59">
        <v>78</v>
      </c>
      <c r="D35" s="59"/>
      <c r="E35" s="59">
        <v>86</v>
      </c>
      <c r="F35" s="59">
        <v>85</v>
      </c>
      <c r="G35" s="59">
        <v>81</v>
      </c>
      <c r="H35" s="59">
        <v>87</v>
      </c>
      <c r="I35" s="59">
        <v>81</v>
      </c>
      <c r="J35" s="59">
        <v>75</v>
      </c>
      <c r="K35" s="66">
        <v>94</v>
      </c>
      <c r="L35" s="59">
        <v>95</v>
      </c>
      <c r="M35" s="20">
        <f t="shared" si="0"/>
        <v>84.666666666666671</v>
      </c>
      <c r="N35" s="20">
        <f t="shared" si="1"/>
        <v>83.375</v>
      </c>
    </row>
    <row r="36" spans="1:14" ht="28.8" x14ac:dyDescent="0.25">
      <c r="A36" s="23">
        <v>31</v>
      </c>
      <c r="B36" s="76" t="s">
        <v>309</v>
      </c>
      <c r="C36" s="59">
        <v>86</v>
      </c>
      <c r="D36" s="59"/>
      <c r="E36" s="59">
        <v>92</v>
      </c>
      <c r="F36" s="59">
        <v>92</v>
      </c>
      <c r="G36" s="59">
        <v>80</v>
      </c>
      <c r="H36" s="59">
        <v>94</v>
      </c>
      <c r="I36" s="59">
        <v>79</v>
      </c>
      <c r="J36" s="59">
        <v>74</v>
      </c>
      <c r="K36" s="66">
        <v>88</v>
      </c>
      <c r="L36" s="59">
        <v>90</v>
      </c>
      <c r="M36" s="20">
        <f t="shared" si="0"/>
        <v>86.111111111111114</v>
      </c>
      <c r="N36" s="20">
        <f t="shared" si="1"/>
        <v>85.625</v>
      </c>
    </row>
    <row r="37" spans="1:14" ht="28.8" x14ac:dyDescent="0.25">
      <c r="A37" s="23">
        <v>32</v>
      </c>
      <c r="B37" s="76" t="s">
        <v>316</v>
      </c>
      <c r="C37" s="63">
        <v>78</v>
      </c>
      <c r="D37" s="63"/>
      <c r="E37" s="63">
        <v>92</v>
      </c>
      <c r="F37" s="63">
        <v>90</v>
      </c>
      <c r="G37" s="63">
        <v>80</v>
      </c>
      <c r="H37" s="63">
        <v>88</v>
      </c>
      <c r="I37" s="63">
        <v>87</v>
      </c>
      <c r="J37" s="63">
        <v>73</v>
      </c>
      <c r="K37" s="69">
        <v>93</v>
      </c>
      <c r="L37" s="63">
        <v>91</v>
      </c>
      <c r="M37" s="20">
        <f t="shared" si="0"/>
        <v>85.777777777777771</v>
      </c>
      <c r="N37" s="20">
        <f t="shared" si="1"/>
        <v>85.125</v>
      </c>
    </row>
    <row r="38" spans="1:14" ht="28.8" x14ac:dyDescent="0.25">
      <c r="A38" s="23">
        <v>33</v>
      </c>
      <c r="B38" s="23" t="s">
        <v>323</v>
      </c>
      <c r="C38" s="63">
        <v>88</v>
      </c>
      <c r="D38" s="63"/>
      <c r="E38" s="63">
        <v>93</v>
      </c>
      <c r="F38" s="63">
        <v>85</v>
      </c>
      <c r="G38" s="63">
        <v>85</v>
      </c>
      <c r="H38" s="63">
        <v>94</v>
      </c>
      <c r="I38" s="63">
        <v>84</v>
      </c>
      <c r="J38" s="63">
        <v>76</v>
      </c>
      <c r="K38" s="69">
        <v>87</v>
      </c>
      <c r="L38" s="63">
        <v>92</v>
      </c>
      <c r="M38" s="20">
        <f t="shared" ref="M38:M68" si="2">AVERAGE(C38:L38)</f>
        <v>87.111111111111114</v>
      </c>
      <c r="N38" s="20">
        <f t="shared" si="1"/>
        <v>86.5</v>
      </c>
    </row>
    <row r="39" spans="1:14" ht="43.2" x14ac:dyDescent="0.25">
      <c r="A39" s="23">
        <v>34</v>
      </c>
      <c r="B39" s="75" t="s">
        <v>331</v>
      </c>
      <c r="C39" s="63">
        <v>86</v>
      </c>
      <c r="D39" s="63"/>
      <c r="E39" s="63">
        <v>92</v>
      </c>
      <c r="F39" s="63">
        <v>85</v>
      </c>
      <c r="G39" s="63">
        <v>84</v>
      </c>
      <c r="H39" s="63">
        <v>85</v>
      </c>
      <c r="I39" s="63">
        <v>76</v>
      </c>
      <c r="J39" s="63">
        <v>75</v>
      </c>
      <c r="K39" s="69">
        <v>92</v>
      </c>
      <c r="L39" s="63">
        <v>93</v>
      </c>
      <c r="M39" s="20">
        <f t="shared" si="2"/>
        <v>85.333333333333329</v>
      </c>
      <c r="N39" s="20">
        <f t="shared" si="1"/>
        <v>84.375</v>
      </c>
    </row>
    <row r="40" spans="1:14" ht="28.8" x14ac:dyDescent="0.25">
      <c r="A40" s="23">
        <v>35</v>
      </c>
      <c r="B40" s="23" t="s">
        <v>338</v>
      </c>
      <c r="C40" s="63">
        <v>92</v>
      </c>
      <c r="D40" s="63"/>
      <c r="E40" s="63">
        <v>92</v>
      </c>
      <c r="F40" s="63">
        <v>82</v>
      </c>
      <c r="G40" s="63">
        <v>84</v>
      </c>
      <c r="H40" s="63">
        <v>87</v>
      </c>
      <c r="I40" s="63">
        <v>86</v>
      </c>
      <c r="J40" s="63">
        <v>93</v>
      </c>
      <c r="K40" s="69">
        <v>94</v>
      </c>
      <c r="L40" s="63">
        <v>95</v>
      </c>
      <c r="M40" s="20">
        <f t="shared" si="2"/>
        <v>89.444444444444443</v>
      </c>
      <c r="N40" s="20">
        <f t="shared" si="1"/>
        <v>88.75</v>
      </c>
    </row>
    <row r="41" spans="1:14" ht="28.8" x14ac:dyDescent="0.25">
      <c r="A41" s="23">
        <v>36</v>
      </c>
      <c r="B41" s="23" t="s">
        <v>346</v>
      </c>
      <c r="C41" s="64">
        <v>84</v>
      </c>
      <c r="D41" s="64"/>
      <c r="E41" s="64">
        <v>91</v>
      </c>
      <c r="F41" s="64">
        <v>81</v>
      </c>
      <c r="G41" s="64">
        <v>83</v>
      </c>
      <c r="H41" s="64">
        <v>94</v>
      </c>
      <c r="I41" s="64">
        <v>79</v>
      </c>
      <c r="J41" s="64">
        <v>82</v>
      </c>
      <c r="K41" s="64">
        <v>88</v>
      </c>
      <c r="L41" s="64">
        <v>90</v>
      </c>
      <c r="M41" s="20">
        <f t="shared" si="2"/>
        <v>85.777777777777771</v>
      </c>
      <c r="N41" s="20">
        <f t="shared" si="1"/>
        <v>85.25</v>
      </c>
    </row>
    <row r="42" spans="1:14" ht="43.2" x14ac:dyDescent="0.25">
      <c r="A42" s="23">
        <v>37</v>
      </c>
      <c r="B42" s="23" t="s">
        <v>355</v>
      </c>
      <c r="C42" s="64">
        <v>90</v>
      </c>
      <c r="D42" s="64">
        <v>91</v>
      </c>
      <c r="E42" s="64">
        <v>87</v>
      </c>
      <c r="F42" s="64"/>
      <c r="G42" s="64">
        <v>82</v>
      </c>
      <c r="H42" s="64">
        <v>91</v>
      </c>
      <c r="I42" s="64">
        <v>89</v>
      </c>
      <c r="J42" s="64">
        <v>88</v>
      </c>
      <c r="K42" s="64">
        <v>95</v>
      </c>
      <c r="L42" s="64">
        <v>96</v>
      </c>
      <c r="M42" s="20">
        <f t="shared" si="2"/>
        <v>89.888888888888886</v>
      </c>
      <c r="N42" s="20">
        <f t="shared" si="1"/>
        <v>89.125</v>
      </c>
    </row>
    <row r="43" spans="1:14" ht="43.2" x14ac:dyDescent="0.25">
      <c r="A43" s="23">
        <v>38</v>
      </c>
      <c r="B43" s="23" t="s">
        <v>364</v>
      </c>
      <c r="C43" s="64">
        <v>75</v>
      </c>
      <c r="D43" s="64">
        <v>90</v>
      </c>
      <c r="E43" s="64">
        <v>86</v>
      </c>
      <c r="F43" s="64"/>
      <c r="G43" s="64">
        <v>82</v>
      </c>
      <c r="H43" s="64">
        <v>89</v>
      </c>
      <c r="I43" s="64">
        <v>91</v>
      </c>
      <c r="J43" s="64">
        <v>90</v>
      </c>
      <c r="K43" s="64">
        <v>89</v>
      </c>
      <c r="L43" s="64">
        <v>94</v>
      </c>
      <c r="M43" s="20">
        <f t="shared" si="2"/>
        <v>87.333333333333329</v>
      </c>
      <c r="N43" s="20">
        <f t="shared" si="1"/>
        <v>86.5</v>
      </c>
    </row>
    <row r="44" spans="1:14" ht="43.2" x14ac:dyDescent="0.25">
      <c r="A44" s="23">
        <v>39</v>
      </c>
      <c r="B44" s="23" t="s">
        <v>374</v>
      </c>
      <c r="C44" s="64">
        <v>82</v>
      </c>
      <c r="D44" s="64">
        <v>88</v>
      </c>
      <c r="E44" s="64">
        <v>86</v>
      </c>
      <c r="F44" s="64"/>
      <c r="G44" s="64">
        <v>83</v>
      </c>
      <c r="H44" s="64">
        <v>92</v>
      </c>
      <c r="I44" s="64">
        <v>86</v>
      </c>
      <c r="J44" s="64">
        <v>87</v>
      </c>
      <c r="K44" s="64">
        <v>93</v>
      </c>
      <c r="L44" s="64">
        <v>92</v>
      </c>
      <c r="M44" s="20">
        <f t="shared" si="2"/>
        <v>87.666666666666671</v>
      </c>
      <c r="N44" s="20">
        <f t="shared" si="1"/>
        <v>87.125</v>
      </c>
    </row>
    <row r="45" spans="1:14" ht="28.8" x14ac:dyDescent="0.25">
      <c r="A45" s="23">
        <v>40</v>
      </c>
      <c r="B45" s="23" t="s">
        <v>383</v>
      </c>
      <c r="C45" s="64">
        <v>84</v>
      </c>
      <c r="D45" s="64">
        <v>90</v>
      </c>
      <c r="E45" s="64">
        <v>92</v>
      </c>
      <c r="F45" s="64"/>
      <c r="G45" s="64">
        <v>84</v>
      </c>
      <c r="H45" s="64">
        <v>94</v>
      </c>
      <c r="I45" s="64">
        <v>78</v>
      </c>
      <c r="J45" s="64">
        <v>90</v>
      </c>
      <c r="K45" s="64">
        <v>87</v>
      </c>
      <c r="L45" s="64">
        <v>95</v>
      </c>
      <c r="M45" s="20">
        <f t="shared" si="2"/>
        <v>88.222222222222229</v>
      </c>
      <c r="N45" s="20">
        <f t="shared" si="1"/>
        <v>87.375</v>
      </c>
    </row>
    <row r="46" spans="1:14" ht="28.8" x14ac:dyDescent="0.25">
      <c r="A46" s="23">
        <v>41</v>
      </c>
      <c r="B46" s="23" t="s">
        <v>391</v>
      </c>
      <c r="C46" s="64">
        <v>86</v>
      </c>
      <c r="D46" s="64">
        <v>89</v>
      </c>
      <c r="E46" s="64">
        <v>85</v>
      </c>
      <c r="F46" s="64"/>
      <c r="G46" s="64">
        <v>77</v>
      </c>
      <c r="H46" s="64">
        <v>91</v>
      </c>
      <c r="I46" s="64">
        <v>85</v>
      </c>
      <c r="J46" s="64">
        <v>87</v>
      </c>
      <c r="K46" s="64">
        <v>99</v>
      </c>
      <c r="L46" s="64">
        <v>93</v>
      </c>
      <c r="M46" s="20">
        <f t="shared" si="2"/>
        <v>88</v>
      </c>
      <c r="N46" s="20">
        <f t="shared" si="1"/>
        <v>87.375</v>
      </c>
    </row>
    <row r="47" spans="1:14" ht="43.2" x14ac:dyDescent="0.25">
      <c r="A47" s="23">
        <v>42</v>
      </c>
      <c r="B47" s="23" t="s">
        <v>399</v>
      </c>
      <c r="C47" s="64">
        <v>84</v>
      </c>
      <c r="D47" s="64">
        <v>91</v>
      </c>
      <c r="E47" s="64">
        <v>91</v>
      </c>
      <c r="F47" s="64"/>
      <c r="G47" s="64">
        <v>76</v>
      </c>
      <c r="H47" s="64">
        <v>92</v>
      </c>
      <c r="I47" s="64">
        <v>80</v>
      </c>
      <c r="J47" s="64">
        <v>86</v>
      </c>
      <c r="K47" s="64">
        <v>88</v>
      </c>
      <c r="L47" s="64">
        <v>92</v>
      </c>
      <c r="M47" s="20">
        <f t="shared" si="2"/>
        <v>86.666666666666671</v>
      </c>
      <c r="N47" s="20">
        <f t="shared" si="1"/>
        <v>86</v>
      </c>
    </row>
    <row r="48" spans="1:14" ht="57.6" x14ac:dyDescent="0.25">
      <c r="A48" s="23">
        <v>43</v>
      </c>
      <c r="B48" s="23" t="s">
        <v>407</v>
      </c>
      <c r="C48" s="64">
        <v>78</v>
      </c>
      <c r="D48" s="64">
        <v>89</v>
      </c>
      <c r="E48" s="64">
        <v>87</v>
      </c>
      <c r="F48" s="64"/>
      <c r="G48" s="64">
        <v>79</v>
      </c>
      <c r="H48" s="64">
        <v>92</v>
      </c>
      <c r="I48" s="64">
        <v>85</v>
      </c>
      <c r="J48" s="64">
        <v>86</v>
      </c>
      <c r="K48" s="64">
        <v>93</v>
      </c>
      <c r="L48" s="64">
        <v>95</v>
      </c>
      <c r="M48" s="20">
        <f t="shared" si="2"/>
        <v>87.111111111111114</v>
      </c>
      <c r="N48" s="20">
        <f t="shared" si="1"/>
        <v>86.125</v>
      </c>
    </row>
    <row r="49" spans="1:14" ht="43.2" x14ac:dyDescent="0.25">
      <c r="A49" s="23">
        <v>44</v>
      </c>
      <c r="B49" s="23" t="s">
        <v>415</v>
      </c>
      <c r="C49" s="64">
        <v>85</v>
      </c>
      <c r="D49" s="64">
        <v>92</v>
      </c>
      <c r="E49" s="64">
        <v>99</v>
      </c>
      <c r="F49" s="64">
        <v>90</v>
      </c>
      <c r="G49" s="64">
        <v>80</v>
      </c>
      <c r="H49" s="64" t="s">
        <v>61</v>
      </c>
      <c r="I49" s="64">
        <v>78</v>
      </c>
      <c r="J49" s="64">
        <v>83</v>
      </c>
      <c r="K49" s="64">
        <v>94</v>
      </c>
      <c r="L49" s="64">
        <v>93</v>
      </c>
      <c r="M49" s="20">
        <f t="shared" si="2"/>
        <v>88.222222222222229</v>
      </c>
      <c r="N49" s="20">
        <f t="shared" si="1"/>
        <v>87.625</v>
      </c>
    </row>
    <row r="50" spans="1:14" ht="43.2" x14ac:dyDescent="0.25">
      <c r="A50" s="23">
        <v>45</v>
      </c>
      <c r="B50" s="23" t="s">
        <v>424</v>
      </c>
      <c r="C50" s="64">
        <v>82</v>
      </c>
      <c r="D50" s="64">
        <v>90</v>
      </c>
      <c r="E50" s="64">
        <v>98</v>
      </c>
      <c r="F50" s="64">
        <v>75</v>
      </c>
      <c r="G50" s="64">
        <v>77</v>
      </c>
      <c r="H50" s="64" t="s">
        <v>61</v>
      </c>
      <c r="I50" s="64">
        <v>80</v>
      </c>
      <c r="J50" s="64">
        <v>93</v>
      </c>
      <c r="K50" s="64">
        <v>88</v>
      </c>
      <c r="L50" s="64">
        <v>96</v>
      </c>
      <c r="M50" s="20">
        <f t="shared" si="2"/>
        <v>86.555555555555557</v>
      </c>
      <c r="N50" s="20">
        <f t="shared" si="1"/>
        <v>85.375</v>
      </c>
    </row>
    <row r="51" spans="1:14" ht="43.2" x14ac:dyDescent="0.25">
      <c r="A51" s="23">
        <v>46</v>
      </c>
      <c r="B51" s="23" t="s">
        <v>434</v>
      </c>
      <c r="C51" s="64">
        <v>84</v>
      </c>
      <c r="D51" s="64">
        <v>90</v>
      </c>
      <c r="E51" s="64">
        <v>92</v>
      </c>
      <c r="F51" s="64">
        <v>90</v>
      </c>
      <c r="G51" s="64"/>
      <c r="H51" s="64">
        <v>93</v>
      </c>
      <c r="I51" s="64">
        <v>82</v>
      </c>
      <c r="J51" s="64">
        <v>75</v>
      </c>
      <c r="K51" s="64">
        <v>98</v>
      </c>
      <c r="L51" s="64">
        <v>96</v>
      </c>
      <c r="M51" s="20">
        <f t="shared" si="2"/>
        <v>88.888888888888886</v>
      </c>
      <c r="N51" s="20">
        <f t="shared" si="1"/>
        <v>88</v>
      </c>
    </row>
    <row r="52" spans="1:14" ht="43.2" x14ac:dyDescent="0.25">
      <c r="A52" s="23">
        <v>47</v>
      </c>
      <c r="B52" s="23" t="s">
        <v>444</v>
      </c>
      <c r="C52" s="64">
        <v>84</v>
      </c>
      <c r="D52" s="64">
        <v>91</v>
      </c>
      <c r="E52" s="64">
        <v>93</v>
      </c>
      <c r="F52" s="64">
        <v>90</v>
      </c>
      <c r="G52" s="64"/>
      <c r="H52" s="64">
        <v>95</v>
      </c>
      <c r="I52" s="64">
        <v>78</v>
      </c>
      <c r="J52" s="64">
        <v>76</v>
      </c>
      <c r="K52" s="64">
        <v>96</v>
      </c>
      <c r="L52" s="64">
        <v>93</v>
      </c>
      <c r="M52" s="20">
        <f t="shared" si="2"/>
        <v>88.444444444444443</v>
      </c>
      <c r="N52" s="20">
        <f t="shared" si="1"/>
        <v>87.875</v>
      </c>
    </row>
    <row r="53" spans="1:14" ht="43.2" x14ac:dyDescent="0.25">
      <c r="A53" s="23">
        <v>48</v>
      </c>
      <c r="B53" s="23" t="s">
        <v>455</v>
      </c>
      <c r="C53" s="64">
        <v>80</v>
      </c>
      <c r="D53" s="64">
        <v>90</v>
      </c>
      <c r="E53" s="64">
        <v>87</v>
      </c>
      <c r="F53" s="64">
        <v>85</v>
      </c>
      <c r="G53" s="64"/>
      <c r="H53" s="64">
        <v>91</v>
      </c>
      <c r="I53" s="64">
        <v>81</v>
      </c>
      <c r="J53" s="64">
        <v>81</v>
      </c>
      <c r="K53" s="64">
        <v>97</v>
      </c>
      <c r="L53" s="64">
        <v>96</v>
      </c>
      <c r="M53" s="20">
        <f t="shared" si="2"/>
        <v>87.555555555555557</v>
      </c>
      <c r="N53" s="20">
        <f t="shared" si="1"/>
        <v>86.5</v>
      </c>
    </row>
    <row r="54" spans="1:14" ht="28.8" x14ac:dyDescent="0.25">
      <c r="A54" s="23">
        <v>49</v>
      </c>
      <c r="B54" s="23" t="s">
        <v>464</v>
      </c>
      <c r="C54" s="64">
        <v>86</v>
      </c>
      <c r="D54" s="64">
        <v>90</v>
      </c>
      <c r="E54" s="64">
        <v>87</v>
      </c>
      <c r="F54" s="64">
        <v>80</v>
      </c>
      <c r="G54" s="64"/>
      <c r="H54" s="64">
        <v>87</v>
      </c>
      <c r="I54" s="64">
        <v>81</v>
      </c>
      <c r="J54" s="64">
        <v>77</v>
      </c>
      <c r="K54" s="64">
        <v>89</v>
      </c>
      <c r="L54" s="64">
        <v>90</v>
      </c>
      <c r="M54" s="20">
        <f t="shared" si="2"/>
        <v>85.222222222222229</v>
      </c>
      <c r="N54" s="20">
        <f t="shared" si="1"/>
        <v>84.625</v>
      </c>
    </row>
    <row r="55" spans="1:14" ht="28.8" x14ac:dyDescent="0.25">
      <c r="A55" s="23">
        <v>50</v>
      </c>
      <c r="B55" s="23" t="s">
        <v>473</v>
      </c>
      <c r="C55" s="64">
        <v>84</v>
      </c>
      <c r="D55" s="64">
        <v>91</v>
      </c>
      <c r="E55" s="64">
        <v>91</v>
      </c>
      <c r="F55" s="64">
        <v>80</v>
      </c>
      <c r="G55" s="64"/>
      <c r="H55" s="64">
        <v>88</v>
      </c>
      <c r="I55" s="64">
        <v>81</v>
      </c>
      <c r="J55" s="64">
        <v>80</v>
      </c>
      <c r="K55" s="64">
        <v>87</v>
      </c>
      <c r="L55" s="64">
        <v>95</v>
      </c>
      <c r="M55" s="20">
        <f t="shared" si="2"/>
        <v>86.333333333333329</v>
      </c>
      <c r="N55" s="20">
        <f t="shared" si="1"/>
        <v>85.25</v>
      </c>
    </row>
    <row r="56" spans="1:14" ht="43.2" x14ac:dyDescent="0.25">
      <c r="A56" s="23">
        <v>51</v>
      </c>
      <c r="B56" s="23" t="s">
        <v>481</v>
      </c>
      <c r="C56" s="64">
        <v>86</v>
      </c>
      <c r="D56" s="64">
        <v>88</v>
      </c>
      <c r="E56" s="64">
        <v>87</v>
      </c>
      <c r="F56" s="64">
        <v>85</v>
      </c>
      <c r="G56" s="64"/>
      <c r="H56" s="64">
        <v>91</v>
      </c>
      <c r="I56" s="64">
        <v>81</v>
      </c>
      <c r="J56" s="64">
        <v>78</v>
      </c>
      <c r="K56" s="64">
        <v>86</v>
      </c>
      <c r="L56" s="64">
        <v>90</v>
      </c>
      <c r="M56" s="20">
        <f t="shared" si="2"/>
        <v>85.777777777777771</v>
      </c>
      <c r="N56" s="20">
        <f t="shared" si="1"/>
        <v>85.25</v>
      </c>
    </row>
    <row r="57" spans="1:14" ht="28.8" x14ac:dyDescent="0.25">
      <c r="A57" s="23">
        <v>52</v>
      </c>
      <c r="B57" s="23" t="s">
        <v>491</v>
      </c>
      <c r="C57" s="64">
        <v>82</v>
      </c>
      <c r="D57" s="64">
        <v>88</v>
      </c>
      <c r="E57" s="64">
        <v>91</v>
      </c>
      <c r="F57" s="64">
        <v>90</v>
      </c>
      <c r="G57" s="64"/>
      <c r="H57" s="64">
        <v>90</v>
      </c>
      <c r="I57" s="64">
        <v>84</v>
      </c>
      <c r="J57" s="64">
        <v>78</v>
      </c>
      <c r="K57" s="64">
        <v>95</v>
      </c>
      <c r="L57" s="64">
        <v>91</v>
      </c>
      <c r="M57" s="20">
        <f t="shared" si="2"/>
        <v>87.666666666666671</v>
      </c>
      <c r="N57" s="20">
        <f t="shared" si="1"/>
        <v>87.25</v>
      </c>
    </row>
    <row r="58" spans="1:14" ht="43.2" x14ac:dyDescent="0.25">
      <c r="A58" s="23">
        <v>53</v>
      </c>
      <c r="B58" s="23" t="s">
        <v>500</v>
      </c>
      <c r="C58" s="64">
        <v>88</v>
      </c>
      <c r="D58" s="64">
        <v>90</v>
      </c>
      <c r="E58" s="64">
        <v>87</v>
      </c>
      <c r="F58" s="64">
        <v>83</v>
      </c>
      <c r="G58" s="64"/>
      <c r="H58" s="64">
        <v>91</v>
      </c>
      <c r="I58" s="64">
        <v>82</v>
      </c>
      <c r="J58" s="64">
        <v>76</v>
      </c>
      <c r="K58" s="64">
        <v>88</v>
      </c>
      <c r="L58" s="64">
        <v>90</v>
      </c>
      <c r="M58" s="20">
        <f t="shared" si="2"/>
        <v>86.111111111111114</v>
      </c>
      <c r="N58" s="20">
        <f t="shared" si="1"/>
        <v>85.625</v>
      </c>
    </row>
    <row r="59" spans="1:14" ht="28.8" x14ac:dyDescent="0.25">
      <c r="A59" s="23">
        <v>54</v>
      </c>
      <c r="B59" s="23" t="s">
        <v>509</v>
      </c>
      <c r="C59" s="64">
        <v>75</v>
      </c>
      <c r="D59" s="64">
        <v>90</v>
      </c>
      <c r="E59" s="64">
        <v>91</v>
      </c>
      <c r="F59" s="64">
        <v>75</v>
      </c>
      <c r="G59" s="64">
        <v>78</v>
      </c>
      <c r="H59" s="64">
        <v>92</v>
      </c>
      <c r="I59" s="64"/>
      <c r="J59" s="64">
        <v>92</v>
      </c>
      <c r="K59" s="64">
        <v>89</v>
      </c>
      <c r="L59" s="64">
        <v>95</v>
      </c>
      <c r="M59" s="20">
        <f t="shared" si="2"/>
        <v>86.333333333333329</v>
      </c>
      <c r="N59" s="20">
        <f t="shared" si="1"/>
        <v>85.25</v>
      </c>
    </row>
    <row r="60" spans="1:14" ht="28.8" x14ac:dyDescent="0.25">
      <c r="A60" s="23">
        <v>55</v>
      </c>
      <c r="B60" s="77" t="s">
        <v>519</v>
      </c>
      <c r="C60" s="64">
        <v>78</v>
      </c>
      <c r="D60" s="64">
        <v>88</v>
      </c>
      <c r="E60" s="64">
        <v>91</v>
      </c>
      <c r="F60" s="64">
        <v>70</v>
      </c>
      <c r="G60" s="64">
        <v>75</v>
      </c>
      <c r="H60" s="64">
        <v>93</v>
      </c>
      <c r="I60" s="64"/>
      <c r="J60" s="64">
        <v>77</v>
      </c>
      <c r="K60" s="64">
        <v>89</v>
      </c>
      <c r="L60" s="64">
        <v>96</v>
      </c>
      <c r="M60" s="20">
        <f t="shared" si="2"/>
        <v>84.111111111111114</v>
      </c>
      <c r="N60" s="20">
        <f t="shared" si="1"/>
        <v>82.625</v>
      </c>
    </row>
    <row r="61" spans="1:14" ht="57.6" x14ac:dyDescent="0.25">
      <c r="A61" s="23">
        <v>56</v>
      </c>
      <c r="B61" s="77" t="s">
        <v>529</v>
      </c>
      <c r="C61" s="64">
        <v>84</v>
      </c>
      <c r="D61" s="64">
        <v>90</v>
      </c>
      <c r="E61" s="64">
        <v>91</v>
      </c>
      <c r="F61" s="64">
        <v>70</v>
      </c>
      <c r="G61" s="64">
        <v>78</v>
      </c>
      <c r="H61" s="64">
        <v>90</v>
      </c>
      <c r="I61" s="64"/>
      <c r="J61" s="64">
        <v>79</v>
      </c>
      <c r="K61" s="64">
        <v>96</v>
      </c>
      <c r="L61" s="64">
        <v>96</v>
      </c>
      <c r="M61" s="20">
        <f t="shared" si="2"/>
        <v>86</v>
      </c>
      <c r="N61" s="20">
        <f t="shared" si="1"/>
        <v>84.75</v>
      </c>
    </row>
    <row r="62" spans="1:14" ht="28.8" x14ac:dyDescent="0.25">
      <c r="A62" s="23">
        <v>57</v>
      </c>
      <c r="B62" s="77" t="s">
        <v>539</v>
      </c>
      <c r="C62" s="64">
        <v>84</v>
      </c>
      <c r="D62" s="64">
        <v>90</v>
      </c>
      <c r="E62" s="64">
        <v>91</v>
      </c>
      <c r="F62" s="64">
        <v>75</v>
      </c>
      <c r="G62" s="64">
        <v>80</v>
      </c>
      <c r="H62" s="64">
        <v>88</v>
      </c>
      <c r="I62" s="64"/>
      <c r="J62" s="64">
        <v>75</v>
      </c>
      <c r="K62" s="64">
        <v>93</v>
      </c>
      <c r="L62" s="64">
        <v>96</v>
      </c>
      <c r="M62" s="20">
        <f t="shared" si="2"/>
        <v>85.777777777777771</v>
      </c>
      <c r="N62" s="20">
        <f t="shared" si="1"/>
        <v>84.5</v>
      </c>
    </row>
    <row r="63" spans="1:14" ht="43.2" x14ac:dyDescent="0.25">
      <c r="A63" s="23">
        <v>58</v>
      </c>
      <c r="B63" s="77" t="s">
        <v>548</v>
      </c>
      <c r="C63" s="64">
        <v>82</v>
      </c>
      <c r="D63" s="64">
        <v>88</v>
      </c>
      <c r="E63" s="64">
        <v>92</v>
      </c>
      <c r="F63" s="64">
        <v>75</v>
      </c>
      <c r="G63" s="64">
        <v>79</v>
      </c>
      <c r="H63" s="64">
        <v>89</v>
      </c>
      <c r="I63" s="64"/>
      <c r="J63" s="64">
        <v>76</v>
      </c>
      <c r="K63" s="64">
        <v>87</v>
      </c>
      <c r="L63" s="64">
        <v>92</v>
      </c>
      <c r="M63" s="20">
        <f t="shared" si="2"/>
        <v>84.444444444444443</v>
      </c>
      <c r="N63" s="20">
        <f t="shared" si="1"/>
        <v>83.5</v>
      </c>
    </row>
    <row r="64" spans="1:14" ht="28.8" x14ac:dyDescent="0.25">
      <c r="A64" s="23">
        <v>59</v>
      </c>
      <c r="B64" s="77" t="s">
        <v>557</v>
      </c>
      <c r="C64" s="64">
        <v>75</v>
      </c>
      <c r="D64" s="64">
        <v>88</v>
      </c>
      <c r="E64" s="64">
        <v>92</v>
      </c>
      <c r="F64" s="64">
        <v>70</v>
      </c>
      <c r="G64" s="64">
        <v>79</v>
      </c>
      <c r="H64" s="64">
        <v>86</v>
      </c>
      <c r="I64" s="64"/>
      <c r="J64" s="64">
        <v>75</v>
      </c>
      <c r="K64" s="64">
        <v>95</v>
      </c>
      <c r="L64" s="64">
        <v>97</v>
      </c>
      <c r="M64" s="20">
        <f t="shared" si="2"/>
        <v>84.111111111111114</v>
      </c>
      <c r="N64" s="20">
        <f t="shared" si="1"/>
        <v>82.5</v>
      </c>
    </row>
    <row r="65" spans="1:14" ht="28.8" x14ac:dyDescent="0.25">
      <c r="A65" s="23">
        <v>60</v>
      </c>
      <c r="B65" s="23" t="s">
        <v>564</v>
      </c>
      <c r="C65" s="64">
        <v>84</v>
      </c>
      <c r="D65" s="64">
        <v>90</v>
      </c>
      <c r="E65" s="64">
        <v>91</v>
      </c>
      <c r="F65" s="64">
        <v>75</v>
      </c>
      <c r="G65" s="64">
        <v>91</v>
      </c>
      <c r="H65" s="64">
        <v>91</v>
      </c>
      <c r="I65" s="64">
        <v>79</v>
      </c>
      <c r="J65" s="64">
        <v>79</v>
      </c>
      <c r="K65" s="64"/>
      <c r="L65" s="64">
        <v>96</v>
      </c>
      <c r="M65" s="20">
        <f t="shared" si="2"/>
        <v>86.222222222222229</v>
      </c>
      <c r="N65" s="20">
        <f t="shared" si="1"/>
        <v>85</v>
      </c>
    </row>
    <row r="66" spans="1:14" ht="43.2" x14ac:dyDescent="0.25">
      <c r="A66" s="23">
        <v>61</v>
      </c>
      <c r="B66" s="23" t="s">
        <v>574</v>
      </c>
      <c r="C66" s="64">
        <v>86</v>
      </c>
      <c r="D66" s="64">
        <v>91</v>
      </c>
      <c r="E66" s="64">
        <v>92</v>
      </c>
      <c r="F66" s="64">
        <v>90</v>
      </c>
      <c r="G66" s="64">
        <v>84</v>
      </c>
      <c r="H66" s="64">
        <v>92</v>
      </c>
      <c r="I66" s="64">
        <v>89</v>
      </c>
      <c r="J66" s="64">
        <v>90</v>
      </c>
      <c r="K66" s="64"/>
      <c r="L66" s="64">
        <v>93</v>
      </c>
      <c r="M66" s="20">
        <f t="shared" si="2"/>
        <v>89.666666666666671</v>
      </c>
      <c r="N66" s="20">
        <f t="shared" si="1"/>
        <v>89.25</v>
      </c>
    </row>
    <row r="67" spans="1:14" ht="43.2" x14ac:dyDescent="0.25">
      <c r="A67" s="23">
        <v>62</v>
      </c>
      <c r="B67" s="23" t="s">
        <v>582</v>
      </c>
      <c r="C67" s="64">
        <v>84</v>
      </c>
      <c r="D67" s="64">
        <v>90</v>
      </c>
      <c r="E67" s="64">
        <v>85</v>
      </c>
      <c r="F67" s="64">
        <v>75</v>
      </c>
      <c r="G67" s="64">
        <v>79</v>
      </c>
      <c r="H67" s="64">
        <v>91</v>
      </c>
      <c r="I67" s="64">
        <v>72</v>
      </c>
      <c r="J67" s="64"/>
      <c r="K67" s="64">
        <v>86</v>
      </c>
      <c r="L67" s="64">
        <v>92</v>
      </c>
      <c r="M67" s="20">
        <f t="shared" si="2"/>
        <v>83.777777777777771</v>
      </c>
      <c r="N67" s="20">
        <f t="shared" si="1"/>
        <v>82.75</v>
      </c>
    </row>
    <row r="68" spans="1:14" ht="28.8" x14ac:dyDescent="0.25">
      <c r="A68" s="23">
        <v>63</v>
      </c>
      <c r="B68" s="23" t="s">
        <v>594</v>
      </c>
      <c r="C68" s="64">
        <v>78</v>
      </c>
      <c r="D68" s="64">
        <v>90</v>
      </c>
      <c r="E68" s="64">
        <v>86</v>
      </c>
      <c r="F68" s="64">
        <v>82</v>
      </c>
      <c r="G68" s="64">
        <v>81</v>
      </c>
      <c r="H68" s="64">
        <v>86</v>
      </c>
      <c r="I68" s="64">
        <v>75</v>
      </c>
      <c r="J68" s="64"/>
      <c r="K68" s="64">
        <v>95</v>
      </c>
      <c r="L68" s="64">
        <v>95</v>
      </c>
      <c r="M68" s="20">
        <f t="shared" si="2"/>
        <v>85.333333333333329</v>
      </c>
      <c r="N68" s="20">
        <f t="shared" si="1"/>
        <v>84.125</v>
      </c>
    </row>
  </sheetData>
  <mergeCells count="14">
    <mergeCell ref="N4:N5"/>
    <mergeCell ref="I4:I5"/>
    <mergeCell ref="J4:J5"/>
    <mergeCell ref="A4:A5"/>
    <mergeCell ref="B4:B5"/>
    <mergeCell ref="M4:M5"/>
    <mergeCell ref="K4:K5"/>
    <mergeCell ref="C4:C5"/>
    <mergeCell ref="D4:D5"/>
    <mergeCell ref="E4:E5"/>
    <mergeCell ref="F4:F5"/>
    <mergeCell ref="G4:G5"/>
    <mergeCell ref="H4:H5"/>
    <mergeCell ref="L4:L5"/>
  </mergeCells>
  <phoneticPr fontId="3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排名（9个生产部门打分）</vt:lpstr>
      <vt:lpstr>评分标准</vt:lpstr>
      <vt:lpstr>排名aveg</vt:lpstr>
      <vt:lpstr>均分计算</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Menglin Li</dc:creator>
  <cp:lastModifiedBy>Menglin Li</cp:lastModifiedBy>
  <dcterms:created xsi:type="dcterms:W3CDTF">2025-07-23T06:58:00Z</dcterms:created>
  <dcterms:modified xsi:type="dcterms:W3CDTF">2026-04-07T07:39:55Z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05E7C3C5D45E4A9FBDA0FEAAEAA02346_13</vt:lpwstr>
  </property>
  <property fmtid="{D5CDD505-2E9C-101B-9397-08002B2CF9AE}" pid="3" name="KSOProductBuildVer">
    <vt:lpwstr>2052-11.8.2.8053</vt:lpwstr>
  </property>
  <property fmtid="{D5CDD505-2E9C-101B-9397-08002B2CF9AE}" pid="4" name="CalculationRule">
    <vt:i4>0</vt:i4>
  </property>
</Properties>
</file>